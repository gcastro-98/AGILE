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codeName="ThisWorkbook"/>
  <mc:AlternateContent xmlns:mc="http://schemas.openxmlformats.org/markup-compatibility/2006">
    <mc:Choice Requires="x15">
      <x15ac:absPath xmlns:x15ac="http://schemas.microsoft.com/office/spreadsheetml/2010/11/ac" url="D:\TempUserProfiles\NetworkService\AppData\Local\Packages\oice_16_974fa576_32c1d314_7ca\AC\Temp\"/>
    </mc:Choice>
  </mc:AlternateContent>
  <xr:revisionPtr revIDLastSave="0" documentId="8_{F0B4B4AF-D923-461B-80DD-0FCA83630284}" xr6:coauthVersionLast="47" xr6:coauthVersionMax="47" xr10:uidLastSave="{00000000-0000-0000-0000-000000000000}"/>
  <bookViews>
    <workbookView xWindow="-60" yWindow="-60" windowWidth="15480" windowHeight="11640" tabRatio="522" firstSheet="5" activeTab="5" xr2:uid="{00000000-000D-0000-FFFF-FFFF00000000}"/>
  </bookViews>
  <sheets>
    <sheet name="Release Plan" sheetId="7" r:id="rId1"/>
    <sheet name="Product Backlog" sheetId="8" r:id="rId2"/>
    <sheet name="PB Burndown" sheetId="20" r:id="rId3"/>
    <sheet name="Sp1" sheetId="19" r:id="rId4"/>
    <sheet name="Sp2" sheetId="25" r:id="rId5"/>
    <sheet name="Sp3" sheetId="26" r:id="rId6"/>
    <sheet name="Sprint Sheet Template" sheetId="16" r:id="rId7"/>
    <sheet name="Task Slips" sheetId="21" r:id="rId8"/>
    <sheet name="Daily Meetings Sp1" sheetId="24" r:id="rId9"/>
    <sheet name="Sprint Evaluation" sheetId="22" r:id="rId10"/>
    <sheet name="Retrospective" sheetId="23" r:id="rId11"/>
  </sheets>
  <externalReferences>
    <externalReference r:id="rId12"/>
  </externalReferences>
  <definedNames>
    <definedName name="_xlnm.Print_Area" localSheetId="1">'Product Backlog'!$A:$G</definedName>
    <definedName name="_xlnm.Print_Area" localSheetId="7">'Task Slips'!#REF!</definedName>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6">'Sprint Sheet Template'!$D$11</definedName>
    <definedName name="DoneDays">#REF!</definedName>
    <definedName name="DoneDaysSp2">'Sp2'!$D$11</definedName>
    <definedName name="ImplementationDays" localSheetId="3">'Sp1'!$B$9</definedName>
    <definedName name="ImplementationDays" localSheetId="6">'Sprint Sheet Template'!$B$9</definedName>
    <definedName name="ImplementationDays">#REF!</definedName>
    <definedName name="ImplementationDaysSp2">'Sp2'!$B$9</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Backlog'!$A$4:$G$162</definedName>
    <definedName name="RealizedSpeed">OFFSET('PB Burndown'!$D$27,1,0,'PB Burndown'!$G$3,1)</definedName>
    <definedName name="RealValues" localSheetId="3">OFFSET('Sp1'!$F$10,0,0,1,'Sp1'!DoneDays)</definedName>
    <definedName name="RealValues" localSheetId="6">OFFSET('Sprint Sheet Template'!$F$10,0,0,1,'Sprint Sheet Template'!DoneDays)</definedName>
    <definedName name="Sprint">'Product Backlog'!$E$5:$E$162</definedName>
    <definedName name="SprintCount">'PB Burndown'!$G$3</definedName>
    <definedName name="SprintsInTrend">'PB Burndown'!$G$6</definedName>
    <definedName name="SprintTasks" localSheetId="3">'Sp1'!$A$14:$AD$63</definedName>
    <definedName name="SprintTasks">'Sprint Sheet Template'!$A$14:$AD$63</definedName>
    <definedName name="Status">'Product Backlog'!$C$5:$C$162</definedName>
    <definedName name="StoryName">'Product Backlog'!$B$5:$B$162</definedName>
    <definedName name="TaskRows" localSheetId="3">'Sp1'!$B$11</definedName>
    <definedName name="TaskRows" localSheetId="6">'Sprint Sheet Template'!$B$11</definedName>
    <definedName name="TaskRows">#REF!</definedName>
    <definedName name="TaskRowsSp2">'Sp2'!$B$11</definedName>
    <definedName name="TaskStatus" localSheetId="3">'Sp1'!$D$14:$D$58</definedName>
    <definedName name="TaskStatus">'Sprint Sheet Template'!$D$14:$D$58</definedName>
    <definedName name="TaskStoryID" localSheetId="3">'Sp1'!$B$14:$B$53</definedName>
    <definedName name="TaskStoryID">'Sprint Sheet Template'!$B$14:$B$53</definedName>
    <definedName name="TotalEffort" localSheetId="3">'Sp1'!$E$10</definedName>
    <definedName name="TotalEffort" localSheetId="6">'Sprint Sheet Template'!$E$10</definedName>
    <definedName name="TotalEffort">#REF!</definedName>
    <definedName name="TotalEffortSp2">'Sp2'!$E$10</definedName>
    <definedName name="TrendDays" localSheetId="3">'Sp1'!$D$13</definedName>
    <definedName name="TrendDays">'Sprint Sheet Template'!$D$13</definedName>
    <definedName name="TrendDaysSp2">'Sp2'!$D$13</definedName>
    <definedName name="TrendOffset">'PB Burndown'!$G$5</definedName>
    <definedName name="TrendSprintCount">'PB Burndown'!$G$4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57" i="21" l="1"/>
  <c r="A149" i="21"/>
  <c r="A141" i="21"/>
  <c r="A133" i="21"/>
  <c r="A125" i="21"/>
  <c r="A117" i="21"/>
  <c r="A109" i="21"/>
  <c r="A101" i="21"/>
  <c r="A93" i="21"/>
  <c r="A85" i="21"/>
  <c r="A77" i="21"/>
  <c r="A69" i="21"/>
  <c r="A61" i="21"/>
  <c r="A53" i="21"/>
  <c r="A45" i="21"/>
  <c r="A37" i="21"/>
  <c r="A29" i="21"/>
  <c r="A21" i="21"/>
  <c r="A13" i="21"/>
  <c r="A5" i="21"/>
  <c r="D75" i="25"/>
  <c r="F68" i="25"/>
  <c r="D68" i="25"/>
  <c r="F67" i="25"/>
  <c r="D67" i="25"/>
  <c r="F66" i="25"/>
  <c r="D66" i="25"/>
  <c r="F65" i="25"/>
  <c r="D65" i="25"/>
  <c r="F64" i="25"/>
  <c r="D64" i="25"/>
  <c r="F63" i="25"/>
  <c r="D63" i="25"/>
  <c r="F62" i="25"/>
  <c r="D62" i="25"/>
  <c r="F61" i="25"/>
  <c r="D61" i="25"/>
  <c r="F60" i="25"/>
  <c r="D60" i="25"/>
  <c r="F59" i="25"/>
  <c r="D59" i="25"/>
  <c r="F58" i="25"/>
  <c r="D58" i="25"/>
  <c r="F57" i="25"/>
  <c r="D57" i="25"/>
  <c r="F56" i="25"/>
  <c r="D56" i="25"/>
  <c r="F55" i="25"/>
  <c r="D55" i="25"/>
  <c r="F54" i="25"/>
  <c r="D54" i="25"/>
  <c r="F53" i="25"/>
  <c r="D53" i="25"/>
  <c r="F52" i="25"/>
  <c r="D52" i="25"/>
  <c r="F51" i="25"/>
  <c r="D51" i="25"/>
  <c r="F50" i="25"/>
  <c r="D50" i="25"/>
  <c r="F49" i="25"/>
  <c r="D49" i="25"/>
  <c r="F48" i="25"/>
  <c r="D48" i="25"/>
  <c r="F47" i="25"/>
  <c r="D47" i="25"/>
  <c r="F46" i="25"/>
  <c r="D46" i="25"/>
  <c r="G14" i="25"/>
  <c r="G67" i="25"/>
  <c r="B11" i="25"/>
  <c r="U10" i="25"/>
  <c r="F29" i="19"/>
  <c r="F28" i="19"/>
  <c r="F27" i="19"/>
  <c r="F34" i="19"/>
  <c r="F26" i="19"/>
  <c r="F25" i="19"/>
  <c r="F24" i="19"/>
  <c r="F33" i="19"/>
  <c r="F32" i="19"/>
  <c r="F31" i="19"/>
  <c r="F30" i="19"/>
  <c r="F23" i="19"/>
  <c r="F22" i="19"/>
  <c r="F21" i="19"/>
  <c r="F20" i="19"/>
  <c r="F19" i="19"/>
  <c r="G4" i="20"/>
  <c r="D10" i="20"/>
  <c r="P43" i="20"/>
  <c r="E16" i="7"/>
  <c r="E4" i="7"/>
  <c r="E17" i="7"/>
  <c r="E5" i="7"/>
  <c r="E18" i="7"/>
  <c r="E6" i="7"/>
  <c r="E19" i="7"/>
  <c r="E20" i="7"/>
  <c r="B17" i="7"/>
  <c r="B18" i="7"/>
  <c r="D16" i="7"/>
  <c r="B28" i="20"/>
  <c r="E28" i="20" s="1"/>
  <c r="F18" i="19"/>
  <c r="F17" i="19"/>
  <c r="F16" i="19"/>
  <c r="F15" i="19"/>
  <c r="E21" i="7"/>
  <c r="G14" i="19"/>
  <c r="H14" i="19"/>
  <c r="H57" i="19"/>
  <c r="I14" i="19"/>
  <c r="I56" i="19"/>
  <c r="D17" i="7"/>
  <c r="F18" i="7"/>
  <c r="F19" i="7"/>
  <c r="F20" i="7"/>
  <c r="F21" i="7"/>
  <c r="F22" i="7"/>
  <c r="F23" i="7"/>
  <c r="F24" i="7"/>
  <c r="F25" i="7"/>
  <c r="F26" i="7"/>
  <c r="F27" i="7"/>
  <c r="F28" i="7"/>
  <c r="F29" i="7"/>
  <c r="F30" i="7"/>
  <c r="B4" i="7"/>
  <c r="G17" i="20"/>
  <c r="A18" i="20"/>
  <c r="A8" i="20"/>
  <c r="D15" i="20"/>
  <c r="D17" i="20"/>
  <c r="D16" i="20"/>
  <c r="H28" i="20"/>
  <c r="E31" i="7"/>
  <c r="B11" i="19"/>
  <c r="O10" i="19" s="1"/>
  <c r="L10" i="19"/>
  <c r="D35" i="19"/>
  <c r="F35" i="19"/>
  <c r="D36" i="19"/>
  <c r="F36" i="19"/>
  <c r="D37" i="19"/>
  <c r="F37" i="19"/>
  <c r="D38" i="19"/>
  <c r="F38" i="19"/>
  <c r="D39" i="19"/>
  <c r="F39" i="19"/>
  <c r="D40" i="19"/>
  <c r="F40" i="19"/>
  <c r="D41" i="19"/>
  <c r="F41" i="19"/>
  <c r="D42" i="19"/>
  <c r="F42" i="19"/>
  <c r="D43" i="19"/>
  <c r="F43" i="19"/>
  <c r="D44" i="19"/>
  <c r="F44" i="19"/>
  <c r="D45" i="19"/>
  <c r="F45" i="19"/>
  <c r="D46" i="19"/>
  <c r="F46" i="19"/>
  <c r="D47" i="19"/>
  <c r="F47" i="19"/>
  <c r="D48" i="19"/>
  <c r="F48" i="19"/>
  <c r="D49" i="19"/>
  <c r="F49" i="19"/>
  <c r="D50" i="19"/>
  <c r="F50" i="19"/>
  <c r="D51" i="19"/>
  <c r="F51" i="19"/>
  <c r="D52" i="19"/>
  <c r="F52" i="19"/>
  <c r="D53" i="19"/>
  <c r="F53" i="19"/>
  <c r="D54" i="19"/>
  <c r="F54" i="19"/>
  <c r="D55" i="19"/>
  <c r="F55" i="19"/>
  <c r="D56" i="19"/>
  <c r="F56" i="19"/>
  <c r="D57" i="19"/>
  <c r="F57" i="19"/>
  <c r="D64" i="19"/>
  <c r="B11" i="16"/>
  <c r="F15" i="16"/>
  <c r="F16" i="16"/>
  <c r="F17" i="16"/>
  <c r="F18" i="16"/>
  <c r="F10" i="16"/>
  <c r="E10" i="7"/>
  <c r="E9" i="7"/>
  <c r="E8" i="7"/>
  <c r="E7" i="7"/>
  <c r="C4" i="7"/>
  <c r="C5" i="7"/>
  <c r="C7" i="7"/>
  <c r="D7" i="7"/>
  <c r="C8" i="7"/>
  <c r="D8" i="7"/>
  <c r="C9" i="7"/>
  <c r="D9" i="7"/>
  <c r="C10" i="7"/>
  <c r="D10" i="7"/>
  <c r="G14" i="16"/>
  <c r="G59" i="16"/>
  <c r="H14" i="16"/>
  <c r="H59" i="16"/>
  <c r="I14" i="16"/>
  <c r="AC10" i="16"/>
  <c r="AB10" i="16"/>
  <c r="AA10" i="16"/>
  <c r="Z10" i="16"/>
  <c r="W10" i="16"/>
  <c r="V10" i="16"/>
  <c r="U10" i="16"/>
  <c r="T10" i="16"/>
  <c r="S10" i="16"/>
  <c r="R10" i="16"/>
  <c r="P10" i="16"/>
  <c r="N10" i="16"/>
  <c r="M10" i="16"/>
  <c r="L10" i="16"/>
  <c r="K10" i="16"/>
  <c r="J10" i="16"/>
  <c r="H10" i="16"/>
  <c r="G10" i="16"/>
  <c r="E10" i="16"/>
  <c r="F11" i="16"/>
  <c r="D15" i="16"/>
  <c r="D16" i="16"/>
  <c r="D17" i="16"/>
  <c r="D18" i="16"/>
  <c r="D19" i="16"/>
  <c r="F19" i="16"/>
  <c r="D20" i="16"/>
  <c r="F20" i="16"/>
  <c r="D21" i="16"/>
  <c r="F21" i="16"/>
  <c r="D22" i="16"/>
  <c r="F22" i="16"/>
  <c r="D23" i="16"/>
  <c r="F23" i="16"/>
  <c r="D24" i="16"/>
  <c r="F24" i="16"/>
  <c r="D25" i="16"/>
  <c r="F25" i="16"/>
  <c r="D26" i="16"/>
  <c r="F26" i="16"/>
  <c r="D27" i="16"/>
  <c r="F27" i="16"/>
  <c r="D28" i="16"/>
  <c r="F28" i="16"/>
  <c r="D29" i="16"/>
  <c r="F29" i="16"/>
  <c r="D30" i="16"/>
  <c r="F30" i="16"/>
  <c r="D31" i="16"/>
  <c r="F31" i="16"/>
  <c r="D32" i="16"/>
  <c r="F32" i="16"/>
  <c r="D33" i="16"/>
  <c r="F33" i="16"/>
  <c r="D34" i="16"/>
  <c r="F34" i="16"/>
  <c r="D35" i="16"/>
  <c r="F35" i="16"/>
  <c r="D36" i="16"/>
  <c r="F36" i="16"/>
  <c r="D37" i="16"/>
  <c r="F37" i="16"/>
  <c r="D38" i="16"/>
  <c r="F38" i="16"/>
  <c r="D39" i="16"/>
  <c r="F39" i="16"/>
  <c r="D40" i="16"/>
  <c r="F40" i="16"/>
  <c r="D41" i="16"/>
  <c r="F41" i="16"/>
  <c r="D42" i="16"/>
  <c r="F42" i="16"/>
  <c r="D43" i="16"/>
  <c r="F43" i="16"/>
  <c r="D44" i="16"/>
  <c r="F44" i="16"/>
  <c r="D45" i="16"/>
  <c r="F45" i="16"/>
  <c r="D46" i="16"/>
  <c r="F46" i="16"/>
  <c r="D47" i="16"/>
  <c r="F47" i="16"/>
  <c r="D48" i="16"/>
  <c r="F48" i="16"/>
  <c r="D49" i="16"/>
  <c r="F49" i="16"/>
  <c r="D50" i="16"/>
  <c r="F50" i="16"/>
  <c r="D51" i="16"/>
  <c r="F51" i="16"/>
  <c r="D52" i="16"/>
  <c r="F52" i="16"/>
  <c r="D53" i="16"/>
  <c r="F53" i="16"/>
  <c r="D54" i="16"/>
  <c r="F54" i="16"/>
  <c r="D55" i="16"/>
  <c r="F55" i="16"/>
  <c r="D56" i="16"/>
  <c r="F56" i="16"/>
  <c r="D57" i="16"/>
  <c r="F57" i="16"/>
  <c r="D58" i="16"/>
  <c r="F58" i="16"/>
  <c r="H58" i="16"/>
  <c r="I58" i="16"/>
  <c r="D59" i="16"/>
  <c r="F59" i="16"/>
  <c r="D64" i="16"/>
  <c r="G5" i="20"/>
  <c r="G6" i="20"/>
  <c r="F28" i="20"/>
  <c r="B19" i="7"/>
  <c r="D18" i="7"/>
  <c r="B5" i="7"/>
  <c r="B6" i="7" s="1"/>
  <c r="D6" i="7" s="1"/>
  <c r="D5" i="7"/>
  <c r="N10" i="19"/>
  <c r="M10" i="19"/>
  <c r="H56" i="19"/>
  <c r="G57" i="19"/>
  <c r="I57" i="19"/>
  <c r="G56" i="19"/>
  <c r="J14" i="19"/>
  <c r="AB10" i="19"/>
  <c r="Q10" i="19"/>
  <c r="P10" i="19"/>
  <c r="V10" i="19"/>
  <c r="G10" i="19"/>
  <c r="E10" i="19"/>
  <c r="W10" i="19"/>
  <c r="H10" i="19"/>
  <c r="S10" i="19"/>
  <c r="F10" i="19"/>
  <c r="AA10" i="19"/>
  <c r="Y10" i="19"/>
  <c r="I10" i="19"/>
  <c r="G58" i="16"/>
  <c r="D4" i="7"/>
  <c r="AD10" i="16"/>
  <c r="Y10" i="16"/>
  <c r="Q10" i="16"/>
  <c r="I10" i="16"/>
  <c r="X10" i="16"/>
  <c r="O10" i="16"/>
  <c r="X10" i="19"/>
  <c r="J14" i="16"/>
  <c r="I59" i="16"/>
  <c r="D19" i="7"/>
  <c r="B20" i="7"/>
  <c r="J10" i="19"/>
  <c r="R10" i="19"/>
  <c r="Z10" i="19"/>
  <c r="K10" i="19"/>
  <c r="T10" i="19"/>
  <c r="U10" i="19"/>
  <c r="B29" i="20"/>
  <c r="E29" i="20" s="1"/>
  <c r="D8" i="20"/>
  <c r="K28" i="20"/>
  <c r="G28" i="20"/>
  <c r="K14" i="19"/>
  <c r="J57" i="19"/>
  <c r="J56" i="19"/>
  <c r="B21" i="7"/>
  <c r="D20" i="7"/>
  <c r="I29" i="20"/>
  <c r="H29" i="20"/>
  <c r="F29" i="20"/>
  <c r="B30" i="20"/>
  <c r="E30" i="20" s="1"/>
  <c r="J59" i="16"/>
  <c r="K14" i="16"/>
  <c r="J58" i="16"/>
  <c r="K56" i="19"/>
  <c r="L14" i="19"/>
  <c r="L11" i="19" s="1"/>
  <c r="K57" i="19"/>
  <c r="K29" i="20"/>
  <c r="G29" i="20"/>
  <c r="D21" i="7"/>
  <c r="B22" i="7"/>
  <c r="K58" i="16"/>
  <c r="L14" i="16"/>
  <c r="K11" i="16"/>
  <c r="K59" i="16"/>
  <c r="I30" i="20"/>
  <c r="F30" i="20"/>
  <c r="M14" i="19"/>
  <c r="L56" i="19"/>
  <c r="L57" i="19"/>
  <c r="F31" i="20"/>
  <c r="I31" i="20"/>
  <c r="H31" i="20"/>
  <c r="K30" i="20"/>
  <c r="G30" i="20"/>
  <c r="B23" i="7"/>
  <c r="D22" i="7"/>
  <c r="A22" i="7"/>
  <c r="E22" i="7"/>
  <c r="N29" i="20"/>
  <c r="L29" i="20"/>
  <c r="N37" i="20"/>
  <c r="L37" i="20"/>
  <c r="N45" i="20"/>
  <c r="L45" i="20"/>
  <c r="N30" i="20"/>
  <c r="L30" i="20"/>
  <c r="N38" i="20"/>
  <c r="L38" i="20"/>
  <c r="N46" i="20"/>
  <c r="L46" i="20"/>
  <c r="H30" i="20"/>
  <c r="N31" i="20"/>
  <c r="L31" i="20"/>
  <c r="N39" i="20"/>
  <c r="L39" i="20"/>
  <c r="N47" i="20"/>
  <c r="L47" i="20"/>
  <c r="N41" i="20"/>
  <c r="L41" i="20"/>
  <c r="N28" i="20"/>
  <c r="L28" i="20"/>
  <c r="M28" i="20"/>
  <c r="N42" i="20"/>
  <c r="L42" i="20"/>
  <c r="N32" i="20"/>
  <c r="L32" i="20"/>
  <c r="N43" i="20"/>
  <c r="L43" i="20"/>
  <c r="N33" i="20"/>
  <c r="L33" i="20"/>
  <c r="N34" i="20"/>
  <c r="L34" i="20"/>
  <c r="N51" i="20"/>
  <c r="L51" i="20"/>
  <c r="N35" i="20"/>
  <c r="L35" i="20"/>
  <c r="N36" i="20"/>
  <c r="L36" i="20"/>
  <c r="N40" i="20"/>
  <c r="L40" i="20"/>
  <c r="N44" i="20"/>
  <c r="L44" i="20"/>
  <c r="N48" i="20"/>
  <c r="L48" i="20"/>
  <c r="N49" i="20"/>
  <c r="L49" i="20"/>
  <c r="N50" i="20"/>
  <c r="L50" i="20"/>
  <c r="L58" i="16"/>
  <c r="M14" i="16"/>
  <c r="L11" i="16"/>
  <c r="L59" i="16"/>
  <c r="N14" i="19"/>
  <c r="M56" i="19"/>
  <c r="M57" i="19"/>
  <c r="A23" i="7"/>
  <c r="E23" i="7"/>
  <c r="B24" i="7"/>
  <c r="D23" i="7"/>
  <c r="M11" i="16"/>
  <c r="M58" i="16"/>
  <c r="N14" i="16"/>
  <c r="M59" i="16"/>
  <c r="G31" i="20"/>
  <c r="K31" i="20"/>
  <c r="B33" i="20"/>
  <c r="F32" i="20"/>
  <c r="I32" i="20"/>
  <c r="H32" i="20"/>
  <c r="O14" i="19"/>
  <c r="N56" i="19"/>
  <c r="N57" i="19"/>
  <c r="K32" i="20"/>
  <c r="G32" i="20"/>
  <c r="B34" i="20"/>
  <c r="I33" i="20"/>
  <c r="H33" i="20"/>
  <c r="F33" i="20"/>
  <c r="E33" i="20"/>
  <c r="N11" i="16"/>
  <c r="O14" i="16"/>
  <c r="N58" i="16"/>
  <c r="N59" i="16"/>
  <c r="D24" i="7"/>
  <c r="B25" i="7"/>
  <c r="A24" i="7"/>
  <c r="E24" i="7"/>
  <c r="O56" i="19"/>
  <c r="P14" i="19"/>
  <c r="O57" i="19"/>
  <c r="D25" i="7"/>
  <c r="B26" i="7"/>
  <c r="A25" i="7"/>
  <c r="E25" i="7"/>
  <c r="O59" i="16"/>
  <c r="O11" i="16"/>
  <c r="O58" i="16"/>
  <c r="P14" i="16"/>
  <c r="G33" i="20"/>
  <c r="K33" i="20"/>
  <c r="B35" i="20"/>
  <c r="E34" i="20"/>
  <c r="F34" i="20"/>
  <c r="I34" i="20"/>
  <c r="H34" i="20"/>
  <c r="P11" i="19"/>
  <c r="P57" i="19"/>
  <c r="P56" i="19"/>
  <c r="Q14" i="19"/>
  <c r="K34" i="20"/>
  <c r="G34" i="20"/>
  <c r="D26" i="7"/>
  <c r="B27" i="7"/>
  <c r="A26" i="7"/>
  <c r="E26" i="7"/>
  <c r="E35" i="20"/>
  <c r="F35" i="20"/>
  <c r="B36" i="20"/>
  <c r="I35" i="20"/>
  <c r="H35" i="20"/>
  <c r="Q14" i="16"/>
  <c r="P59" i="16"/>
  <c r="P58" i="16"/>
  <c r="P11" i="16"/>
  <c r="Q57" i="19"/>
  <c r="Q11" i="19"/>
  <c r="Q56" i="19"/>
  <c r="R14" i="19"/>
  <c r="E36" i="20"/>
  <c r="F36" i="20"/>
  <c r="B37" i="20"/>
  <c r="I36" i="20"/>
  <c r="H36" i="20"/>
  <c r="G35" i="20"/>
  <c r="K35" i="20"/>
  <c r="B28" i="7"/>
  <c r="D27" i="7"/>
  <c r="A27" i="7"/>
  <c r="E27" i="7"/>
  <c r="R14" i="16"/>
  <c r="Q59" i="16"/>
  <c r="Q58" i="16"/>
  <c r="Q11" i="16"/>
  <c r="R57" i="19"/>
  <c r="R56" i="19"/>
  <c r="S14" i="19"/>
  <c r="R11" i="19"/>
  <c r="D28" i="7"/>
  <c r="A28" i="7"/>
  <c r="E28" i="7"/>
  <c r="B29" i="7"/>
  <c r="B38" i="20"/>
  <c r="I37" i="20"/>
  <c r="H37" i="20"/>
  <c r="E37" i="20"/>
  <c r="F37" i="20"/>
  <c r="K36" i="20"/>
  <c r="G36" i="20"/>
  <c r="R11" i="16"/>
  <c r="S14" i="16"/>
  <c r="R58" i="16"/>
  <c r="R59" i="16"/>
  <c r="S57" i="19"/>
  <c r="S56" i="19"/>
  <c r="T14" i="19"/>
  <c r="S11" i="19"/>
  <c r="B39" i="20"/>
  <c r="I38" i="20"/>
  <c r="H38" i="20"/>
  <c r="E38" i="20"/>
  <c r="F38" i="20"/>
  <c r="S58" i="16"/>
  <c r="T14" i="16"/>
  <c r="S11" i="16"/>
  <c r="S59" i="16"/>
  <c r="B30" i="7"/>
  <c r="A29" i="7"/>
  <c r="E29" i="7"/>
  <c r="D29" i="7"/>
  <c r="K37" i="20"/>
  <c r="G37" i="20"/>
  <c r="T57" i="19"/>
  <c r="U14" i="19"/>
  <c r="T11" i="19"/>
  <c r="T56" i="19"/>
  <c r="U14" i="16"/>
  <c r="T11" i="16"/>
  <c r="T59" i="16"/>
  <c r="T58" i="16"/>
  <c r="A30" i="7"/>
  <c r="E30" i="7"/>
  <c r="D30" i="7"/>
  <c r="K38" i="20"/>
  <c r="G38" i="20"/>
  <c r="I39" i="20"/>
  <c r="H39" i="20"/>
  <c r="E39" i="20"/>
  <c r="F39" i="20"/>
  <c r="B40" i="20"/>
  <c r="G3" i="20"/>
  <c r="D18" i="20" s="1"/>
  <c r="V14" i="19"/>
  <c r="U11" i="19"/>
  <c r="U57" i="19"/>
  <c r="U56" i="19"/>
  <c r="K39" i="20"/>
  <c r="G39" i="20"/>
  <c r="E40" i="20"/>
  <c r="F40" i="20"/>
  <c r="I40" i="20"/>
  <c r="H40" i="20"/>
  <c r="B41" i="20"/>
  <c r="D9" i="20"/>
  <c r="O42" i="20"/>
  <c r="G20" i="20"/>
  <c r="G19" i="20"/>
  <c r="V14" i="16"/>
  <c r="U11" i="16"/>
  <c r="U58" i="16"/>
  <c r="U59" i="16"/>
  <c r="W14" i="19"/>
  <c r="V11" i="19"/>
  <c r="V56" i="19"/>
  <c r="V57" i="19"/>
  <c r="E41" i="20"/>
  <c r="B42" i="20"/>
  <c r="I41" i="20"/>
  <c r="H41" i="20"/>
  <c r="F41" i="20"/>
  <c r="K40" i="20"/>
  <c r="G40" i="20"/>
  <c r="V11" i="16"/>
  <c r="W14" i="16"/>
  <c r="V58" i="16"/>
  <c r="V59" i="16"/>
  <c r="W57" i="19"/>
  <c r="X14" i="19"/>
  <c r="W11" i="19"/>
  <c r="W56" i="19"/>
  <c r="K41" i="20"/>
  <c r="G41" i="20"/>
  <c r="E42" i="20"/>
  <c r="I42" i="20"/>
  <c r="H42" i="20"/>
  <c r="B43" i="20"/>
  <c r="F42" i="20"/>
  <c r="X14" i="16"/>
  <c r="W11" i="16"/>
  <c r="W58" i="16"/>
  <c r="W59" i="16"/>
  <c r="X57" i="19"/>
  <c r="X56" i="19"/>
  <c r="Y14" i="19"/>
  <c r="X11" i="19"/>
  <c r="K42" i="20"/>
  <c r="G42" i="20"/>
  <c r="X11" i="16"/>
  <c r="X59" i="16"/>
  <c r="Y14" i="16"/>
  <c r="X58" i="16"/>
  <c r="F43" i="20"/>
  <c r="B44" i="20"/>
  <c r="I43" i="20"/>
  <c r="H43" i="20"/>
  <c r="E43" i="20"/>
  <c r="Z14" i="19"/>
  <c r="Y11" i="19"/>
  <c r="Y56" i="19"/>
  <c r="Y57" i="19"/>
  <c r="F44" i="20"/>
  <c r="E44" i="20"/>
  <c r="B45" i="20"/>
  <c r="I44" i="20"/>
  <c r="H44" i="20"/>
  <c r="K43" i="20"/>
  <c r="G43" i="20"/>
  <c r="Z14" i="16"/>
  <c r="Y59" i="16"/>
  <c r="Y11" i="16"/>
  <c r="Y58" i="16"/>
  <c r="Z56" i="19"/>
  <c r="Z11" i="19"/>
  <c r="Z57" i="19"/>
  <c r="AA14" i="19"/>
  <c r="Z59" i="16"/>
  <c r="AA14" i="16"/>
  <c r="Z11" i="16"/>
  <c r="Z58" i="16"/>
  <c r="E45" i="20"/>
  <c r="I45" i="20"/>
  <c r="H45" i="20"/>
  <c r="B46" i="20"/>
  <c r="F45" i="20"/>
  <c r="G44" i="20"/>
  <c r="K44" i="20"/>
  <c r="AB14" i="19"/>
  <c r="AA57" i="19"/>
  <c r="AA56" i="19"/>
  <c r="AA11" i="19"/>
  <c r="AA58" i="16"/>
  <c r="AB14" i="16"/>
  <c r="AA59" i="16"/>
  <c r="AA11" i="16"/>
  <c r="G45" i="20"/>
  <c r="K45" i="20"/>
  <c r="I46" i="20"/>
  <c r="H46" i="20"/>
  <c r="E46" i="20"/>
  <c r="B47" i="20"/>
  <c r="F46" i="20"/>
  <c r="AB11" i="19"/>
  <c r="AC14" i="19"/>
  <c r="AB57" i="19"/>
  <c r="AB56" i="19"/>
  <c r="AB59" i="16"/>
  <c r="AC14" i="16"/>
  <c r="AB11" i="16"/>
  <c r="AB58" i="16"/>
  <c r="I47" i="20"/>
  <c r="H47" i="20"/>
  <c r="E47" i="20"/>
  <c r="F47" i="20"/>
  <c r="B48" i="20"/>
  <c r="G46" i="20"/>
  <c r="K46" i="20"/>
  <c r="AC31" i="19"/>
  <c r="AC28" i="19"/>
  <c r="AC36" i="19"/>
  <c r="AC49" i="19"/>
  <c r="AC21" i="19"/>
  <c r="AC48" i="19"/>
  <c r="AC33" i="19"/>
  <c r="AC60" i="19"/>
  <c r="AC38" i="19"/>
  <c r="AC51" i="19"/>
  <c r="AC35" i="19"/>
  <c r="AC50" i="19"/>
  <c r="AC24" i="19"/>
  <c r="AC17" i="19"/>
  <c r="AC53" i="19"/>
  <c r="AC57" i="19"/>
  <c r="AC52" i="19"/>
  <c r="AC25" i="19"/>
  <c r="AC34" i="19"/>
  <c r="AC63" i="19"/>
  <c r="AC59" i="19"/>
  <c r="AC27" i="19"/>
  <c r="AC32" i="19"/>
  <c r="AC39" i="19"/>
  <c r="AC26" i="19"/>
  <c r="AC44" i="19"/>
  <c r="AC47" i="19"/>
  <c r="AC55" i="19"/>
  <c r="AC41" i="19"/>
  <c r="AC22" i="19"/>
  <c r="AC42" i="19"/>
  <c r="AC45" i="19"/>
  <c r="AC56" i="19"/>
  <c r="AC37" i="19"/>
  <c r="AC40" i="19"/>
  <c r="AC54" i="19"/>
  <c r="AC19" i="19"/>
  <c r="AC11" i="19"/>
  <c r="AC20" i="19"/>
  <c r="AC29" i="19"/>
  <c r="AC62" i="19"/>
  <c r="AC30" i="19"/>
  <c r="AC43" i="19"/>
  <c r="AD14" i="19"/>
  <c r="AC23" i="19"/>
  <c r="AC46" i="19"/>
  <c r="AC61" i="19"/>
  <c r="K47" i="20"/>
  <c r="G47" i="20"/>
  <c r="AC20" i="16"/>
  <c r="AC29" i="16"/>
  <c r="AC31" i="16"/>
  <c r="AC33" i="16"/>
  <c r="AC35" i="16"/>
  <c r="AC37" i="16"/>
  <c r="AC39" i="16"/>
  <c r="AC41" i="16"/>
  <c r="AC43" i="16"/>
  <c r="AC45" i="16"/>
  <c r="AC47" i="16"/>
  <c r="AC49" i="16"/>
  <c r="AC51" i="16"/>
  <c r="AC53" i="16"/>
  <c r="AC55" i="16"/>
  <c r="AC57" i="16"/>
  <c r="AC56" i="16"/>
  <c r="AC19" i="16"/>
  <c r="AC54" i="16"/>
  <c r="AC59" i="16"/>
  <c r="AD14" i="16"/>
  <c r="AC11" i="16"/>
  <c r="AC22" i="16"/>
  <c r="AC27" i="16"/>
  <c r="AC34" i="16"/>
  <c r="AC50" i="16"/>
  <c r="AC25" i="16"/>
  <c r="AC32" i="16"/>
  <c r="AC48" i="16"/>
  <c r="AC16" i="16"/>
  <c r="AC23" i="16"/>
  <c r="AC30" i="16"/>
  <c r="AC46" i="16"/>
  <c r="AC17" i="16"/>
  <c r="AC28" i="16"/>
  <c r="AC44" i="16"/>
  <c r="AC42" i="16"/>
  <c r="AC24" i="16"/>
  <c r="AC18" i="16"/>
  <c r="AC21" i="16"/>
  <c r="AC26" i="16"/>
  <c r="AC40" i="16"/>
  <c r="AC38" i="16"/>
  <c r="AC36" i="16"/>
  <c r="AC52" i="16"/>
  <c r="AC58" i="16"/>
  <c r="F48" i="20"/>
  <c r="I48" i="20"/>
  <c r="H48" i="20"/>
  <c r="E48" i="20"/>
  <c r="B49" i="20"/>
  <c r="AD31" i="19"/>
  <c r="AD59" i="19"/>
  <c r="AD25" i="19"/>
  <c r="AD55" i="19"/>
  <c r="AD35" i="19"/>
  <c r="AD48" i="19"/>
  <c r="AD33" i="19"/>
  <c r="AD43" i="19"/>
  <c r="AD39" i="19"/>
  <c r="AD52" i="19"/>
  <c r="AD11" i="19"/>
  <c r="AD63" i="19"/>
  <c r="AD47" i="19"/>
  <c r="AD23" i="19"/>
  <c r="AD28" i="19"/>
  <c r="AD34" i="19"/>
  <c r="AD32" i="19"/>
  <c r="AD37" i="19"/>
  <c r="AD53" i="19"/>
  <c r="AD21" i="19"/>
  <c r="AD41" i="19"/>
  <c r="AD26" i="19"/>
  <c r="AD57" i="19"/>
  <c r="AD50" i="19"/>
  <c r="AD36" i="19"/>
  <c r="AD27" i="19"/>
  <c r="AD62" i="19"/>
  <c r="AD45" i="19"/>
  <c r="AD20" i="19"/>
  <c r="AD22" i="19"/>
  <c r="AD40" i="19"/>
  <c r="AD60" i="19"/>
  <c r="AD42" i="19"/>
  <c r="AD51" i="19"/>
  <c r="AD56" i="19"/>
  <c r="AD29" i="19"/>
  <c r="AD46" i="19"/>
  <c r="AD54" i="19"/>
  <c r="AD17" i="19"/>
  <c r="AD49" i="19"/>
  <c r="AD24" i="19"/>
  <c r="AD44" i="19"/>
  <c r="AD30" i="19"/>
  <c r="AD61" i="19"/>
  <c r="AD38" i="19"/>
  <c r="AD19" i="19"/>
  <c r="AC10" i="19"/>
  <c r="E49" i="20"/>
  <c r="B50" i="20"/>
  <c r="F49" i="20"/>
  <c r="I49" i="20"/>
  <c r="H49" i="20"/>
  <c r="K48" i="20"/>
  <c r="G48" i="20"/>
  <c r="AD11" i="16"/>
  <c r="AD19" i="16"/>
  <c r="AD21" i="16"/>
  <c r="AD23" i="16"/>
  <c r="AD25" i="16"/>
  <c r="AD27" i="16"/>
  <c r="AD18" i="16"/>
  <c r="AD22" i="16"/>
  <c r="AD26" i="16"/>
  <c r="AD33" i="16"/>
  <c r="AD29" i="16"/>
  <c r="AD16" i="16"/>
  <c r="AD36" i="16"/>
  <c r="AD43" i="16"/>
  <c r="AD52" i="16"/>
  <c r="AD17" i="16"/>
  <c r="AD20" i="16"/>
  <c r="AD34" i="16"/>
  <c r="AD41" i="16"/>
  <c r="AD50" i="16"/>
  <c r="AD57" i="16"/>
  <c r="AD32" i="16"/>
  <c r="AD39" i="16"/>
  <c r="AD48" i="16"/>
  <c r="AD55" i="16"/>
  <c r="AD30" i="16"/>
  <c r="AD37" i="16"/>
  <c r="AD46" i="16"/>
  <c r="AD53" i="16"/>
  <c r="AD28" i="16"/>
  <c r="AD35" i="16"/>
  <c r="AD44" i="16"/>
  <c r="AD51" i="16"/>
  <c r="AD49" i="16"/>
  <c r="AD24" i="16"/>
  <c r="AD31" i="16"/>
  <c r="AD40" i="16"/>
  <c r="AD47" i="16"/>
  <c r="AD42" i="16"/>
  <c r="AD56" i="16"/>
  <c r="AD54" i="16"/>
  <c r="AD58" i="16"/>
  <c r="AD59" i="16"/>
  <c r="AD45" i="16"/>
  <c r="AD38" i="16"/>
  <c r="AD10" i="19"/>
  <c r="G49" i="20"/>
  <c r="K49" i="20"/>
  <c r="E50" i="20"/>
  <c r="B51" i="20"/>
  <c r="F50" i="20"/>
  <c r="I50" i="20"/>
  <c r="H50" i="20"/>
  <c r="K50" i="20"/>
  <c r="G50" i="20"/>
  <c r="F51" i="20"/>
  <c r="E51" i="20"/>
  <c r="I51" i="20"/>
  <c r="H51" i="20"/>
  <c r="K51" i="20"/>
  <c r="G51" i="20"/>
  <c r="K10" i="25"/>
  <c r="N10" i="25"/>
  <c r="P10" i="25"/>
  <c r="Q10" i="25"/>
  <c r="R10" i="25"/>
  <c r="V10" i="25"/>
  <c r="W10" i="25"/>
  <c r="X10" i="25"/>
  <c r="Y10" i="25"/>
  <c r="E10" i="25"/>
  <c r="F11" i="25"/>
  <c r="Z10" i="25"/>
  <c r="J10" i="25"/>
  <c r="AA10" i="25"/>
  <c r="L10" i="25"/>
  <c r="M10" i="25"/>
  <c r="AB10" i="25"/>
  <c r="O10" i="25"/>
  <c r="H14" i="25"/>
  <c r="H67" i="25"/>
  <c r="G68" i="25"/>
  <c r="H10" i="25"/>
  <c r="T10" i="25"/>
  <c r="G10" i="25"/>
  <c r="S10" i="25"/>
  <c r="I10" i="25"/>
  <c r="P38" i="20"/>
  <c r="P39" i="20"/>
  <c r="P40" i="20"/>
  <c r="P34" i="20"/>
  <c r="P49" i="20"/>
  <c r="P32" i="20"/>
  <c r="P31" i="20"/>
  <c r="D11" i="20"/>
  <c r="Q41" i="20"/>
  <c r="P42" i="20"/>
  <c r="D20" i="20"/>
  <c r="P36" i="20"/>
  <c r="P47" i="20"/>
  <c r="P33" i="20"/>
  <c r="P30" i="20"/>
  <c r="F10" i="25"/>
  <c r="I14" i="25"/>
  <c r="H68" i="25"/>
  <c r="P48" i="20"/>
  <c r="P28" i="20"/>
  <c r="P45" i="20"/>
  <c r="P51" i="20"/>
  <c r="P29" i="20"/>
  <c r="P37" i="20"/>
  <c r="P44" i="20"/>
  <c r="P41" i="20"/>
  <c r="P50" i="20"/>
  <c r="P46" i="20"/>
  <c r="P35" i="20"/>
  <c r="G11" i="16"/>
  <c r="I11" i="25"/>
  <c r="M36" i="20"/>
  <c r="H11" i="16"/>
  <c r="M44" i="20"/>
  <c r="H11" i="25"/>
  <c r="M39" i="20"/>
  <c r="M50" i="20"/>
  <c r="I11" i="19"/>
  <c r="J11" i="16"/>
  <c r="I11" i="16"/>
  <c r="D11" i="19"/>
  <c r="D13" i="19"/>
  <c r="D11" i="16"/>
  <c r="D13" i="16"/>
  <c r="G11" i="25"/>
  <c r="M11" i="19"/>
  <c r="N11" i="19"/>
  <c r="J11" i="19"/>
  <c r="K11" i="19"/>
  <c r="H11" i="19"/>
  <c r="M34" i="20"/>
  <c r="F11" i="19"/>
  <c r="M38" i="20"/>
  <c r="O30" i="20"/>
  <c r="G11" i="19"/>
  <c r="M48" i="20"/>
  <c r="M29" i="20"/>
  <c r="D12" i="20"/>
  <c r="O11" i="19"/>
  <c r="M45" i="20"/>
  <c r="M33" i="20"/>
  <c r="M31" i="20"/>
  <c r="M46" i="20"/>
  <c r="M43" i="20"/>
  <c r="M30" i="20"/>
  <c r="M49" i="20"/>
  <c r="M41" i="20"/>
  <c r="M37" i="20"/>
  <c r="M51" i="20"/>
  <c r="M47" i="20"/>
  <c r="M32" i="20"/>
  <c r="M40" i="20"/>
  <c r="M42" i="20"/>
  <c r="O44" i="20"/>
  <c r="O32" i="20"/>
  <c r="O39" i="20"/>
  <c r="O47" i="20"/>
  <c r="D24" i="20"/>
  <c r="O50" i="20"/>
  <c r="O41" i="20"/>
  <c r="M35" i="20"/>
  <c r="O28" i="20"/>
  <c r="D23" i="20"/>
  <c r="O35" i="20"/>
  <c r="O46" i="20"/>
  <c r="O31" i="20"/>
  <c r="O33" i="20"/>
  <c r="O37" i="20"/>
  <c r="O36" i="20"/>
  <c r="O43" i="20"/>
  <c r="O34" i="20"/>
  <c r="O29" i="20"/>
  <c r="O38" i="20"/>
  <c r="D19" i="20"/>
  <c r="O51" i="20"/>
  <c r="O45" i="20"/>
  <c r="O49" i="20"/>
  <c r="O40" i="20"/>
  <c r="O48" i="20"/>
  <c r="Q40" i="20"/>
  <c r="Q51" i="20"/>
  <c r="Q38" i="20"/>
  <c r="Q37" i="20"/>
  <c r="Q35" i="20"/>
  <c r="Q44" i="20"/>
  <c r="Q47" i="20"/>
  <c r="Q30" i="20"/>
  <c r="Q49" i="20"/>
  <c r="Q48" i="20"/>
  <c r="Q46" i="20"/>
  <c r="Q45" i="20"/>
  <c r="Q34" i="20"/>
  <c r="Q36" i="20"/>
  <c r="Q32" i="20"/>
  <c r="Q29" i="20"/>
  <c r="Q28" i="20"/>
  <c r="Q33" i="20"/>
  <c r="Q50" i="20"/>
  <c r="Q31" i="20"/>
  <c r="Q43" i="20"/>
  <c r="Q42" i="20"/>
  <c r="Q39" i="20"/>
  <c r="D21" i="20"/>
  <c r="I68" i="25"/>
  <c r="I67" i="25"/>
  <c r="J14" i="25"/>
  <c r="F13" i="16"/>
  <c r="M12" i="16"/>
  <c r="F13" i="19"/>
  <c r="G12" i="19"/>
  <c r="G9" i="20"/>
  <c r="D22" i="20"/>
  <c r="G12" i="16"/>
  <c r="H12" i="16"/>
  <c r="I12" i="16"/>
  <c r="O12" i="16"/>
  <c r="AB12" i="16"/>
  <c r="K12" i="16"/>
  <c r="AC12" i="16"/>
  <c r="U12" i="16"/>
  <c r="Q12" i="16"/>
  <c r="N12" i="16"/>
  <c r="L12" i="16"/>
  <c r="R12" i="16"/>
  <c r="X12" i="19"/>
  <c r="AD12" i="16"/>
  <c r="K14" i="25"/>
  <c r="J68" i="25"/>
  <c r="J67" i="25"/>
  <c r="J11" i="25"/>
  <c r="V12" i="16"/>
  <c r="Y12" i="19"/>
  <c r="AA12" i="19"/>
  <c r="W12" i="19"/>
  <c r="P12" i="19"/>
  <c r="U12" i="19"/>
  <c r="H12" i="19"/>
  <c r="AC12" i="19"/>
  <c r="I12" i="19"/>
  <c r="S12" i="19"/>
  <c r="AD12" i="19"/>
  <c r="AB12" i="19"/>
  <c r="T12" i="19"/>
  <c r="M12" i="19"/>
  <c r="N12" i="19"/>
  <c r="Z12" i="19"/>
  <c r="J12" i="19"/>
  <c r="F12" i="19"/>
  <c r="P12" i="16"/>
  <c r="F12" i="16"/>
  <c r="Z12" i="16"/>
  <c r="AA12" i="16"/>
  <c r="R12" i="19"/>
  <c r="X12" i="16"/>
  <c r="T12" i="16"/>
  <c r="W12" i="16"/>
  <c r="Q12" i="19"/>
  <c r="K12" i="19"/>
  <c r="S12" i="16"/>
  <c r="L12" i="19"/>
  <c r="Y12" i="16"/>
  <c r="J12" i="16"/>
  <c r="O12" i="19"/>
  <c r="V12" i="19"/>
  <c r="K68" i="25"/>
  <c r="L14" i="25"/>
  <c r="K67" i="25"/>
  <c r="K11" i="25"/>
  <c r="M14" i="25"/>
  <c r="L68" i="25"/>
  <c r="L67" i="25"/>
  <c r="L11" i="25"/>
  <c r="N14" i="25"/>
  <c r="M67" i="25"/>
  <c r="M68" i="25"/>
  <c r="M11" i="25"/>
  <c r="O14" i="25"/>
  <c r="N68" i="25"/>
  <c r="N67" i="25"/>
  <c r="N11" i="25"/>
  <c r="P14" i="25"/>
  <c r="O67" i="25"/>
  <c r="O68" i="25"/>
  <c r="O11" i="25"/>
  <c r="P67" i="25"/>
  <c r="P68" i="25"/>
  <c r="Q14" i="25"/>
  <c r="P11" i="25"/>
  <c r="Q68" i="25"/>
  <c r="Q11" i="25"/>
  <c r="Q67" i="25"/>
  <c r="R14" i="25"/>
  <c r="S14" i="25"/>
  <c r="R68" i="25"/>
  <c r="R11" i="25"/>
  <c r="R67" i="25"/>
  <c r="T14" i="25"/>
  <c r="S68" i="25"/>
  <c r="S67" i="25"/>
  <c r="S11" i="25"/>
  <c r="U14" i="25"/>
  <c r="T11" i="25"/>
  <c r="T68" i="25"/>
  <c r="T67" i="25"/>
  <c r="U68" i="25"/>
  <c r="V14" i="25"/>
  <c r="U11" i="25"/>
  <c r="U67" i="25"/>
  <c r="W14" i="25"/>
  <c r="V11" i="25"/>
  <c r="V67" i="25"/>
  <c r="V68" i="25"/>
  <c r="X14" i="25"/>
  <c r="W11" i="25"/>
  <c r="W68" i="25"/>
  <c r="W67" i="25"/>
  <c r="X11" i="25"/>
  <c r="X68" i="25"/>
  <c r="Y14" i="25"/>
  <c r="X67" i="25"/>
  <c r="Y68" i="25"/>
  <c r="Y11" i="25"/>
  <c r="Y67" i="25"/>
  <c r="Z14" i="25"/>
  <c r="AA14" i="25"/>
  <c r="Z68" i="25"/>
  <c r="Z11" i="25"/>
  <c r="Z67" i="25"/>
  <c r="AA67" i="25"/>
  <c r="AA68" i="25"/>
  <c r="AB14" i="25"/>
  <c r="AA11" i="25"/>
  <c r="AB11" i="25"/>
  <c r="AB67" i="25"/>
  <c r="AC14" i="25"/>
  <c r="AB68" i="25"/>
  <c r="AC68" i="25"/>
  <c r="AC57" i="25"/>
  <c r="AC20" i="25"/>
  <c r="AC59" i="25"/>
  <c r="AC37" i="25"/>
  <c r="AC71" i="25"/>
  <c r="AC64" i="25"/>
  <c r="AC54" i="25"/>
  <c r="AC11" i="25"/>
  <c r="AC47" i="25"/>
  <c r="AC40" i="25"/>
  <c r="AC24" i="25"/>
  <c r="AC66" i="25"/>
  <c r="AC61" i="25"/>
  <c r="AC51" i="25"/>
  <c r="AC74" i="25"/>
  <c r="AC36" i="25"/>
  <c r="AC49" i="25"/>
  <c r="AC72" i="25"/>
  <c r="AC58" i="25"/>
  <c r="AC48" i="25"/>
  <c r="AC67" i="25"/>
  <c r="AC62" i="25"/>
  <c r="AC46" i="25"/>
  <c r="AD14" i="25"/>
  <c r="AC55" i="25"/>
  <c r="AC45" i="25"/>
  <c r="AC17" i="25"/>
  <c r="AC50" i="25"/>
  <c r="AC56" i="25"/>
  <c r="AC43" i="25"/>
  <c r="AC70" i="25"/>
  <c r="AC52" i="25"/>
  <c r="AC41" i="25"/>
  <c r="AC44" i="25"/>
  <c r="AC35" i="25"/>
  <c r="AC23" i="25"/>
  <c r="AC65" i="25"/>
  <c r="AC73" i="25"/>
  <c r="AC42" i="25"/>
  <c r="AC53" i="25"/>
  <c r="AC60" i="25"/>
  <c r="AC34" i="25"/>
  <c r="AC63" i="25"/>
  <c r="AC38" i="25"/>
  <c r="AC21" i="25"/>
  <c r="AC39" i="25"/>
  <c r="AC10" i="25"/>
  <c r="AD38" i="25"/>
  <c r="AD45" i="25"/>
  <c r="AD43" i="25"/>
  <c r="AD46" i="25"/>
  <c r="AD63" i="25"/>
  <c r="AD60" i="25"/>
  <c r="AD56" i="25"/>
  <c r="AD34" i="25"/>
  <c r="AD41" i="25"/>
  <c r="AD21" i="25"/>
  <c r="AD40" i="25"/>
  <c r="AD55" i="25"/>
  <c r="AD42" i="25"/>
  <c r="AD20" i="25"/>
  <c r="AD37" i="25"/>
  <c r="AD70" i="25"/>
  <c r="AD65" i="25"/>
  <c r="AD67" i="25"/>
  <c r="AD57" i="25"/>
  <c r="AD62" i="25"/>
  <c r="AD11" i="25"/>
  <c r="AD24" i="25"/>
  <c r="AD59" i="25"/>
  <c r="AD53" i="25"/>
  <c r="AD68" i="25"/>
  <c r="AD50" i="25"/>
  <c r="AD48" i="25"/>
  <c r="AD73" i="25"/>
  <c r="AD17" i="25"/>
  <c r="AD47" i="25"/>
  <c r="AD61" i="25"/>
  <c r="AD44" i="25"/>
  <c r="AD54" i="25"/>
  <c r="AD52" i="25"/>
  <c r="AD66" i="25"/>
  <c r="AD74" i="25"/>
  <c r="AD36" i="25"/>
  <c r="AD49" i="25"/>
  <c r="AD71" i="25"/>
  <c r="AD58" i="25"/>
  <c r="AD39" i="25"/>
  <c r="AD72" i="25"/>
  <c r="AD23" i="25"/>
  <c r="AD51" i="25"/>
  <c r="AD64" i="25"/>
  <c r="AD35" i="25"/>
  <c r="AD10" i="25"/>
  <c r="D11" i="25"/>
  <c r="F13" i="25"/>
  <c r="D13" i="25"/>
  <c r="R12" i="25"/>
  <c r="W12" i="25"/>
  <c r="AC12" i="25"/>
  <c r="AA12" i="25"/>
  <c r="G12" i="25"/>
  <c r="M12" i="25"/>
  <c r="P12" i="25"/>
  <c r="X12" i="25"/>
  <c r="AD12" i="25"/>
  <c r="V12" i="25"/>
  <c r="L12" i="25"/>
  <c r="AB12" i="25"/>
  <c r="T12" i="25"/>
  <c r="Y12" i="25"/>
  <c r="H12" i="25"/>
  <c r="S12" i="25"/>
  <c r="Z12" i="25"/>
  <c r="Q12" i="25"/>
  <c r="N12" i="25"/>
  <c r="F12" i="25"/>
  <c r="K12" i="25"/>
  <c r="I12" i="25"/>
  <c r="U12" i="25"/>
  <c r="O12" i="25"/>
  <c r="J12"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Petri Heiramo</author>
  </authors>
  <commentList>
    <comment ref="A4" authorId="0" shapeId="0" xr:uid="{00000000-0006-0000-0100-000001000000}">
      <text>
        <r>
          <rPr>
            <sz val="8"/>
            <color indexed="81"/>
            <rFont val="Tahoma"/>
            <family val="2"/>
          </rPr>
          <t>Once a Story ID is given to a story, do not change that number or reuse it even if you delete the story.</t>
        </r>
      </text>
    </comment>
    <comment ref="C4" authorId="0" shapeId="0" xr:uid="{00000000-0006-0000-0100-000002000000}">
      <text>
        <r>
          <rPr>
            <b/>
            <sz val="8"/>
            <color indexed="8"/>
            <rFont val="Tahoma"/>
            <family val="2"/>
          </rPr>
          <t>Use the following statuses:</t>
        </r>
        <r>
          <rPr>
            <sz val="8"/>
            <color indexed="8"/>
            <rFont val="Tahoma"/>
            <family val="2"/>
          </rPr>
          <t xml:space="preserve">
</t>
        </r>
        <r>
          <rPr>
            <sz val="8"/>
            <color indexed="8"/>
            <rFont val="Tahoma"/>
            <family val="2"/>
          </rPr>
          <t xml:space="preserve">Planned (or empty)
</t>
        </r>
        <r>
          <rPr>
            <sz val="8"/>
            <color indexed="8"/>
            <rFont val="Tahoma"/>
            <family val="2"/>
          </rPr>
          <t xml:space="preserve">Ongoing
</t>
        </r>
        <r>
          <rPr>
            <sz val="8"/>
            <color indexed="8"/>
            <rFont val="Tahoma"/>
            <family val="2"/>
          </rPr>
          <t xml:space="preserve">Done
</t>
        </r>
        <r>
          <rPr>
            <sz val="8"/>
            <color indexed="8"/>
            <rFont val="Tahoma"/>
            <family val="2"/>
          </rPr>
          <t xml:space="preserve">Removed
</t>
        </r>
        <r>
          <rPr>
            <sz val="8"/>
            <color indexed="8"/>
            <rFont val="Tahoma"/>
            <family val="2"/>
          </rPr>
          <t xml:space="preserve">
</t>
        </r>
        <r>
          <rPr>
            <sz val="8"/>
            <color indexed="8"/>
            <rFont val="Tahoma"/>
            <family val="2"/>
          </rPr>
          <t>The sheet uses the above statuses in the formatting and calculation formulas.</t>
        </r>
      </text>
    </comment>
    <comment ref="D4" authorId="0" shapeId="0" xr:uid="{00000000-0006-0000-0100-000003000000}">
      <text>
        <r>
          <rPr>
            <sz val="8"/>
            <color indexed="81"/>
            <rFont val="Tahoma"/>
            <family val="2"/>
          </rPr>
          <t>Story Points or Ideal Days</t>
        </r>
      </text>
    </comment>
    <comment ref="E4" authorId="0" shapeId="0" xr:uid="{00000000-0006-0000-0100-000004000000}">
      <text>
        <r>
          <rPr>
            <sz val="8"/>
            <color indexed="81"/>
            <rFont val="Tahoma"/>
            <family val="2"/>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indexed="81"/>
            <rFont val="Tahoma"/>
            <family val="2"/>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Petri Heiramo</author>
  </authors>
  <commentList>
    <comment ref="B15" authorId="0" shapeId="0" xr:uid="{00000000-0006-0000-0200-000001000000}">
      <text>
        <r>
          <rPr>
            <sz val="8"/>
            <color indexed="81"/>
            <rFont val="Tahoma"/>
            <family val="2"/>
          </rPr>
          <t>Average estimate * 0,6</t>
        </r>
      </text>
    </comment>
    <comment ref="B17" authorId="0" shapeId="0" xr:uid="{00000000-0006-0000-0200-000002000000}">
      <text>
        <r>
          <rPr>
            <sz val="8"/>
            <color indexed="81"/>
            <rFont val="Tahoma"/>
            <family val="2"/>
          </rPr>
          <t>Average estimate * 1,6</t>
        </r>
      </text>
    </comment>
    <comment ref="B19" authorId="0" shapeId="0" xr:uid="{00000000-0006-0000-0200-000003000000}">
      <text>
        <r>
          <rPr>
            <sz val="8"/>
            <color indexed="81"/>
            <rFont val="Tahoma"/>
            <family val="2"/>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Petri Heiramo</author>
  </authors>
  <commentList>
    <comment ref="A9" authorId="0" shapeId="0" xr:uid="{00000000-0006-0000-0300-000001000000}">
      <text>
        <r>
          <rPr>
            <sz val="8"/>
            <color indexed="81"/>
            <rFont val="Tahoma"/>
            <family val="2"/>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Petri Heiramo</author>
  </authors>
  <commentList>
    <comment ref="A9" authorId="0" shapeId="0" xr:uid="{00000000-0006-0000-0400-000001000000}">
      <text>
        <r>
          <rPr>
            <sz val="8"/>
            <color indexed="81"/>
            <rFont val="Tahoma"/>
            <family val="2"/>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Petri Heiramo</author>
  </authors>
  <commentList>
    <comment ref="A9" authorId="0" shapeId="0" xr:uid="{00000000-0006-0000-0500-000001000000}">
      <text>
        <r>
          <rPr>
            <sz val="8"/>
            <color indexed="81"/>
            <rFont val="Tahoma"/>
            <family val="2"/>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<sst xmlns="http://schemas.openxmlformats.org/spreadsheetml/2006/main" count="1104" uniqueCount="464">
  <si>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</si>
  <si>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</si>
  <si>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</si>
  <si>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</si>
  <si>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</si>
  <si>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</si>
  <si>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</si>
  <si>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</si>
  <si>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</si>
  <si>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</si>
  <si>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</si>
  <si>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</si>
  <si>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</si>
  <si>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Released</t>
  </si>
  <si>
    <t>Planning and setup of basic functionality of web application</t>
  </si>
  <si>
    <t>Planned</t>
  </si>
  <si>
    <t>Specification and prototype development</t>
  </si>
  <si>
    <t>Unallocated stories</t>
  </si>
  <si>
    <t>Product Backlog</t>
  </si>
  <si>
    <t xml:space="preserve"> </t>
  </si>
  <si>
    <t>Story ID</t>
  </si>
  <si>
    <t>Story name</t>
  </si>
  <si>
    <t>Priority</t>
  </si>
  <si>
    <t>Comments</t>
  </si>
  <si>
    <t>Acceptance Criteria</t>
  </si>
  <si>
    <t>As an Analyst, I want to perform an exploratory data analysis, so that I know if the data is ready for the model to be fed</t>
  </si>
  <si>
    <t>Done</t>
  </si>
  <si>
    <t>H</t>
  </si>
  <si>
    <t>Dashboard? Pandas profiling</t>
  </si>
  <si>
    <t>The data has to be clean. The datasets(CSVs) have to be consistent with the spotlight model to be trained.</t>
  </si>
  <si>
    <t>As a Data Scientist, I want to use the spotlight recommender, so that I can use a first version recommender</t>
  </si>
  <si>
    <t>The model has to be ready for the deployment. It must return the output in a way that it can be implemented in the web app.</t>
  </si>
  <si>
    <t>As a DevOps, I want to set up the project, so that it is possible to work on it.</t>
  </si>
  <si>
    <t>Use Cookiecutter</t>
  </si>
  <si>
    <t>The project structure should have a folder for the backend development and another for the frontend development. The frontend should be prepared to work with streamlit. The backend should be prepared to work with FastAPI.</t>
  </si>
  <si>
    <t>As a User, I want to receive movie recommendations, so that I know what to watch</t>
  </si>
  <si>
    <t>The application shows a list of recommended movies to the user. The user can see the name and the rating of the recommended movies.</t>
  </si>
  <si>
    <t>As a User, I want to be set my preferences, so that I can be recommended a movie</t>
  </si>
  <si>
    <t>The user can choose some favourite movies of our database. The user can remove the selected preferred movies or add more.</t>
  </si>
  <si>
    <t>As a User, I want to be able to register, so that I can create a personal profile</t>
  </si>
  <si>
    <t>Ongoing</t>
  </si>
  <si>
    <t>The user can register to our application. The user can create some personal profile in order to save his preferences.</t>
  </si>
  <si>
    <t>As a User, I want to log into my account, so that I can have a personalized profile</t>
  </si>
  <si>
    <t>The user can log in into his account. The user can recover information about his preferences and recommendations</t>
  </si>
  <si>
    <t>As a Web Developer, I want to create a web application page so that every user can use the model</t>
  </si>
  <si>
    <t>M</t>
  </si>
  <si>
    <t>The web page should be properly rendered and accessible from any browser (or at least, most of the new/recent ones). It has to be responsive and fully functional. The user can not experience any crash, thence all of them should be properly handled</t>
  </si>
  <si>
    <t>As a Web Developer I want to create an API, so that the server is integrated with the webpage</t>
  </si>
  <si>
    <t>The API should allow rhe web app to communicate with the backend.</t>
  </si>
  <si>
    <t>The API needs to be able to communicate with the server where the model is hosted (and also the database if the chosen architecture does not provide support with Python). Thus, it has to implement the common methods GET, POST, PUT, DELETE...</t>
  </si>
  <si>
    <t>As a DevOps I want to create a database so that I can store user settings, preferences and past recommendations</t>
  </si>
  <si>
    <t xml:space="preserve">We can use MongoDB. </t>
  </si>
  <si>
    <t>The data in the database can be accessed. New data can be added. Existing data can be modified.</t>
  </si>
  <si>
    <t>As a DevOps I want to host the web app so that it can be accessed from a browser</t>
  </si>
  <si>
    <t>L</t>
  </si>
  <si>
    <t>Maybe in Azure, Heroku or Streamlit Cloud. Github pages is not an option becaus eit can only be used with static pages.</t>
  </si>
  <si>
    <t>The web app can be accessed from any browser.</t>
  </si>
  <si>
    <t>As an Analyst, I want to monitor the data changes, so that the data may be adapted.</t>
  </si>
  <si>
    <t>The model should accept datasets which may change time to time. The model need to be retrained with more data and should work properly.</t>
  </si>
  <si>
    <t>As a Recommender Developer, I want to improve the recommender, so that the model can perform better recommendations</t>
  </si>
  <si>
    <t>The model should accept more features and more predictors should be considered. The metric of the model should be improved.</t>
  </si>
  <si>
    <t>As a DevOps I would like to control the model, so that I can track the quality of the recommender</t>
  </si>
  <si>
    <t>We can use MLFlow</t>
  </si>
  <si>
    <t>We should be able to know and store the accuracy of the model each time is re-trained</t>
  </si>
  <si>
    <t>As a DevOps, I want the model to be re-trained periodically, so that I can keep the user recommendations updated</t>
  </si>
  <si>
    <t>Removed</t>
  </si>
  <si>
    <t>The model should be prepared to accept new data as training and re-trained to take into account data changes and yield better reccommendations</t>
  </si>
  <si>
    <t>As a DevOps, I want to use ML Flow to automatically put in to production the best registered model, so that the web application is always up to date.</t>
  </si>
  <si>
    <t>The deployed model should be the best one (according our accuracy tracking, with MLflow for instance)</t>
  </si>
  <si>
    <t>As a Web developer, I want to create a profile page, so that the user can view its information</t>
  </si>
  <si>
    <t>The user can see a personal profile page which shows information about his favourite movies and the recommended movies he have.</t>
  </si>
  <si>
    <t>As a User, I want to be able to edit preferences, so that my movie recommendations are updated</t>
  </si>
  <si>
    <t>The user should be able to set, at least, his/her movie preferences. This can be achieved in terms of a search bar to find movies he/she like, and set them. Also, the genre and movie category should be set.</t>
  </si>
  <si>
    <t>As a User, I want to implement a 'Forget my password' functionality, so that I can recover my password</t>
  </si>
  <si>
    <t>The user should receive an email to his/her main folder with a working link through which change his/her password</t>
  </si>
  <si>
    <t>As a User I want the movie pictures to appear along with the title of the recommeded movies, so that I can see the cover</t>
  </si>
  <si>
    <t>The movies cover should appear along their title, genre, rating...</t>
  </si>
  <si>
    <t>As a DevOps, I want to set up a docker image, so that I am ensured the server will work properly.</t>
  </si>
  <si>
    <t>The docker image should contain the recommender code, streamlit implementation of the web app…</t>
  </si>
  <si>
    <t>There must be a different docker image for every part of the project: backend, frontend. There should be a docker compose to build both images at the same time.</t>
  </si>
  <si>
    <t>As a DevOps I want to implement CD/CI so that the project automatically deploys into production.</t>
  </si>
  <si>
    <t>The web application, database (if needed) and model should deploy everytime there is an approved change in any of them.</t>
  </si>
  <si>
    <t>As a Web Developer, I want to use the implementation of the recommender in the web app so that it is functional and provides recommendations</t>
  </si>
  <si>
    <t>The recommendations that appear in the web application should not be random but based on the user preferences.</t>
  </si>
  <si>
    <t>As a DevOps, I want to deploy our model so that it can be accessed without it being serialized.</t>
  </si>
  <si>
    <t>The model should be deployed and the cloud and, then accessible for inference from the deployed web app.</t>
  </si>
  <si>
    <t>As a Web Develope, I want to customize and keep enhancing the frontend, so that the user feels the page can adapt to his/her needs</t>
  </si>
  <si>
    <t>The group sees the web intuitive enough. There is no an excess of information at the screen.</t>
  </si>
  <si>
    <t>As a Web Developer I want to optimize the GitHub repository and to documentate the code so that we have a more curated product</t>
  </si>
  <si>
    <t>Have a ``docs`` folder generated as well as have deleted all the needless folders</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</si>
  <si>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</si>
  <si>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</si>
  <si>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</si>
  <si>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</si>
  <si>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</si>
  <si>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</si>
  <si>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</si>
  <si>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</si>
  <si>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</si>
  <si>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</si>
  <si>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</si>
  <si>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</si>
  <si>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</si>
  <si>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</si>
  <si>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</si>
  <si>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</si>
  <si>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</si>
  <si>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</si>
  <si>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</si>
  <si>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</si>
  <si>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</si>
  <si>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</si>
  <si>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</si>
  <si>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</si>
  <si>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</si>
  <si>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</si>
  <si>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</si>
  <si>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</si>
  <si>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</si>
  <si>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</si>
  <si>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</si>
  <si>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</si>
  <si>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</si>
  <si>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</si>
  <si>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</si>
  <si>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</si>
  <si>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</si>
  <si>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</si>
  <si>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</si>
  <si>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</si>
  <si>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</si>
  <si>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</si>
  <si>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</si>
  <si>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</si>
  <si>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</si>
  <si>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</si>
  <si>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</si>
  <si>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</si>
  <si>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</si>
  <si>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</si>
  <si>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</si>
  <si>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</si>
  <si>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</si>
  <si>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</si>
  <si>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</si>
  <si>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</si>
  <si>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</si>
  <si>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</si>
  <si>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</si>
  <si>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</si>
  <si>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</si>
  <si>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</si>
  <si>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</si>
  <si>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1.1 Explore the Dataset - the different files</t>
  </si>
  <si>
    <t>Jordi</t>
  </si>
  <si>
    <t>1.2 Prepare CSV's to feed Spotlight special class</t>
  </si>
  <si>
    <t>2.1 Read and explore Spotlight documentation</t>
  </si>
  <si>
    <t>Marta</t>
  </si>
  <si>
    <t>2.2 Try to implement the model locally</t>
  </si>
  <si>
    <t>2.3 Include a functional recommender model to the project ready to use</t>
  </si>
  <si>
    <t>3.1 Create backend project</t>
  </si>
  <si>
    <t>Sara</t>
  </si>
  <si>
    <t>3.2 Create frontend project</t>
  </si>
  <si>
    <t>3.3 Create data science project</t>
  </si>
  <si>
    <t>3.4 Create production branch</t>
  </si>
  <si>
    <t>8.1 Set the scripts and the theme to have a main web page</t>
  </si>
  <si>
    <t>Gerard</t>
  </si>
  <si>
    <t>8.2 Create a blank field to set the user id (as first mockup)</t>
  </si>
  <si>
    <t>8.3 Create a button so that, once the field is filled, recommendations for userId are given</t>
  </si>
  <si>
    <t>8.4 Print the titles of the recommended film once the button is pressed</t>
  </si>
  <si>
    <t>8.5 Improve the appearance of the movies information</t>
  </si>
  <si>
    <t>Sergi</t>
  </si>
  <si>
    <t>8.6 Create search bar to select user initial preferences</t>
  </si>
  <si>
    <t>11.1 Deploy the web application</t>
  </si>
  <si>
    <t>21.1 Create Dockerfile for backend</t>
  </si>
  <si>
    <t>21.2 Create Dockerfile for frontend</t>
  </si>
  <si>
    <t>21.3 Create docker-compose</t>
  </si>
  <si>
    <t>23.1 Implement the recommender system in the web application</t>
  </si>
  <si>
    <t>9.1 Research how to use the MongoDB API in Python from the web host (where the credentials of the database's user can be stored</t>
  </si>
  <si>
    <t>Finished</t>
  </si>
  <si>
    <t>9.2. Implement the main methods and queries for the dataset so that they are user friendly for the rest of development team.</t>
  </si>
  <si>
    <t>9.3. Connect the frontend with the MongoDB so that the search bar displays the list of all the movies stored at the database and they are accessible.</t>
  </si>
  <si>
    <t>9.4. Connect the frontend so the recommended movies by the model, given by the MovieID, are displayed along their information (Year, Rating, Genres...)</t>
  </si>
  <si>
    <t>9.5. Once implemented the login/register of users merge it manually and connect it with MongoDB using 9.2.</t>
  </si>
  <si>
    <t>10.1. Create a database for the movie lens dataset; with different collections for each kind of movies information (metadata, ratings, ...). Also, grouped-genre collection added, which will be used for the search bar. The Movie Lens version of the added dataset is the '1M' (the rest of them were too heavy for the free tier MongoDB cluster).</t>
  </si>
  <si>
    <t>10.2. Drop the movies with the MovieID were found to cause bug by spotlight.</t>
  </si>
  <si>
    <t>10.3. Create a database for the users information; with different collections for the account information and users (movie) preferences. Hash the users' password</t>
  </si>
  <si>
    <t>24.1 Create a register of the model Azure</t>
  </si>
  <si>
    <t>24.2 Connect the web app to the registered model in Azure</t>
  </si>
  <si>
    <t>22.1 Add CD for the web application</t>
  </si>
  <si>
    <t>7 Implement login of users</t>
  </si>
  <si>
    <t>6 Implement register of users</t>
  </si>
  <si>
    <t>Sergi/Jordi</t>
  </si>
  <si>
    <t>25.1. Add a movie category filter for the search bar.</t>
  </si>
  <si>
    <t xml:space="preserve">25.2. Add a plotly display for the clustered movie information </t>
  </si>
  <si>
    <t>Bugs / Tasks for sprint 3</t>
  </si>
  <si>
    <t>Fixing the merged conflicts</t>
  </si>
  <si>
    <t>Showing the list of preffered movies of the user that has done the log in</t>
  </si>
  <si>
    <t>Save a new preference that the user can</t>
  </si>
  <si>
    <t>Add these as bud 1,2,3</t>
  </si>
  <si>
    <t> </t>
  </si>
  <si>
    <t>9.5 Once implemented the login/register of users merge it manually and connect it with MongoDV using 9.2</t>
  </si>
  <si>
    <t>Fixing the merge conflict existing when trying to merge the branch that implemented the tasks above</t>
  </si>
  <si>
    <t>25.3 Add more filters (ratings etc)</t>
  </si>
  <si>
    <t>25.4 Improve user friendliness of pages</t>
  </si>
  <si>
    <t>25.6 Add worst recommendation mode &amp; solve some bugs</t>
  </si>
  <si>
    <t xml:space="preserve">Gerard </t>
  </si>
  <si>
    <t>17.1 Create profile page frontend</t>
  </si>
  <si>
    <t>17.2 Connecting profile page to database</t>
  </si>
  <si>
    <t>18.1 Edit preferences</t>
  </si>
  <si>
    <t>18.2 Connect to database</t>
  </si>
  <si>
    <t>Sara or Gerard/Marta?</t>
  </si>
  <si>
    <t>26.1 Test filters</t>
  </si>
  <si>
    <t>Jordi + Sara</t>
  </si>
  <si>
    <t>26.2 Test edit preferences</t>
  </si>
  <si>
    <t>Sara + Jordi</t>
  </si>
  <si>
    <t>26.3 Test log in</t>
  </si>
  <si>
    <t>26.4 Test register</t>
  </si>
  <si>
    <t>27.1 Delete all needless file and ensure the web app works</t>
  </si>
  <si>
    <t>27.2 Auto-documentate the code</t>
  </si>
  <si>
    <t>Fill your hours and I will adjust all status and colors</t>
  </si>
  <si>
    <t>Story ID:</t>
  </si>
  <si>
    <t>Story:</t>
  </si>
  <si>
    <t>Task:</t>
  </si>
  <si>
    <t>Initial 
Estimate</t>
  </si>
  <si>
    <t>Work 
Done</t>
  </si>
  <si>
    <t>Work 
Left</t>
  </si>
  <si>
    <t>Daily Meetings</t>
  </si>
  <si>
    <t>Sergi — 11/14/2022</t>
  </si>
  <si>
    <t>What did you do yesterday?</t>
  </si>
  <si>
    <t>-Nothing</t>
  </si>
  <si>
    <t>What will you do today?</t>
  </si>
  <si>
    <t>-</t>
  </si>
  <si>
    <t>Are there any challenges in your way?</t>
  </si>
  <si>
    <t>-Np</t>
  </si>
  <si>
    <t>Sara — 11/14/2022</t>
  </si>
  <si>
    <t>- T3.1 Creating backend project</t>
  </si>
  <si>
    <t>- T3.2 Creating frontend project</t>
  </si>
  <si>
    <t>- T3.3 Creating data science project</t>
  </si>
  <si>
    <t>- T3.4 Create production branch</t>
  </si>
  <si>
    <t>- T21.1 Create backend dockerfile</t>
  </si>
  <si>
    <t>- T21.2 Create frontend dockerfile</t>
  </si>
  <si>
    <t>- T21.3 Create docker-compose</t>
  </si>
  <si>
    <t>- Was waiting for everyone to agree on using one repo, but at the end of today I'll upload everything anyways.</t>
  </si>
  <si>
    <t>"Gerard - 11/14/2022 What did you do yesterday? - Nothing (Thursday &amp; Friday were devoted to the sprint planning) What will you do today? - Nothing (I'll be not able to do anything) Are there any challenges in your way? - I am in Paris attending the Kaggle Days 2022 for work"</t>
  </si>
  <si>
    <t>Sabina Cardell — 11/14/2022</t>
  </si>
  <si>
    <t>- Investigate using one repo</t>
  </si>
  <si>
    <t>- Not for the moment</t>
  </si>
  <si>
    <t>Marta Buetas Arcas — 11/14/2022</t>
  </si>
  <si>
    <t>- Nothing</t>
  </si>
  <si>
    <t>- Define the tasks of US 2</t>
  </si>
  <si>
    <t>- Not for now</t>
  </si>
  <si>
    <t>Jordi — 11/14/2022</t>
  </si>
  <si>
    <t>- Nothing.</t>
  </si>
  <si>
    <t>- Nothing planned today.</t>
  </si>
  <si>
    <t>- Not now.</t>
  </si>
  <si>
    <t>Marta Buetas Arcas — 11/15/2022</t>
  </si>
  <si>
    <t>- I defined the tasks of US 2 and created the Github issue</t>
  </si>
  <si>
    <t>- Task 2.1 (read all the Spotlight documentation) and start Task 2.2 (implement a first version model locally)</t>
  </si>
  <si>
    <t>- Not for the moment, I expect having more technical difficulties with Task 2.3</t>
  </si>
  <si>
    <t>Gerard Castro Castillo - 15/11/2022</t>
  </si>
  <si>
    <t>- Research on how to implement a web app with streamlit and if the model of spotlight can be serialized to set operatively in the web app</t>
  </si>
  <si>
    <t>- None apparently</t>
  </si>
  <si>
    <t>Sabina Cardell — 11/15/2022</t>
  </si>
  <si>
    <t>- Understanding Github</t>
  </si>
  <si>
    <t>Sergi — 11/15/2022</t>
  </si>
  <si>
    <t>- Create tasks and explore front end possibilities.</t>
  </si>
  <si>
    <t>Sara— 11/15/2022</t>
  </si>
  <si>
    <t>- I have to wait to deploy the web app</t>
  </si>
  <si>
    <t>Jordi — 11/15/2022</t>
  </si>
  <si>
    <t>- Explore the dataset(EDA).</t>
  </si>
  <si>
    <t>Sabina Cardell — 16/11/2022</t>
  </si>
  <si>
    <t>- Investigated using one repo</t>
  </si>
  <si>
    <t>- Look at Github</t>
  </si>
  <si>
    <t>- No</t>
  </si>
  <si>
    <t>Gerard - 16/11/2022</t>
  </si>
  <si>
    <t>- Some research</t>
  </si>
  <si>
    <t>- Implement a basic mock up of the web app</t>
  </si>
  <si>
    <t>- Are there any challenges in your way?</t>
  </si>
  <si>
    <t>- Until the first baseline of the model is not deployed, the web app will provide arbitrary recommendations</t>
  </si>
  <si>
    <t>Sara — 16/11/2022</t>
  </si>
  <si>
    <t>- Waiting to deploy the web app</t>
  </si>
  <si>
    <t>Marta Buetas Arcas —— 16/11/2022</t>
  </si>
  <si>
    <t>-Task 2.1 (read all the Spotlight documentation) and start Task 2.2 (implement a first version model locally)</t>
  </si>
  <si>
    <t>- Solve an issue with my pytorch library that has something wrong and finish the implementation of the first simple recommender model</t>
  </si>
  <si>
    <t>- Find out what is wrong with my pytorch version that doesn't work with spotlight doc</t>
  </si>
  <si>
    <t>Jordi - 16/11/2022</t>
  </si>
  <si>
    <t>- EDA</t>
  </si>
  <si>
    <t>- Proper configuration of libraries and environment to execute Spotlight, dataset method is from there.</t>
  </si>
  <si>
    <t>Marta Buetas Arcas — 17/11/2022</t>
  </si>
  <si>
    <t>Great, let us know if you find any issue, we can comment it in class time anyways</t>
  </si>
  <si>
    <t>-Solve an issue with my pytorch library.</t>
  </si>
  <si>
    <t>-Finish and commit a first implementation of a simple Explicit recommender model.</t>
  </si>
  <si>
    <t>- Nothing planned so far</t>
  </si>
  <si>
    <t>- Wait for Gerard to implement the web app and see that the model is working as expected. If there is any issue, solve it asap</t>
  </si>
  <si>
    <t>Gerard - 17/11/2022</t>
  </si>
  <si>
    <t>- Mock up implementation of the recommender</t>
  </si>
  <si>
    <t>- Improve the web app aesthetic and functionalities</t>
  </si>
  <si>
    <t>- Use the deployed recommender to provide actual recommendations based on the user id</t>
  </si>
  <si>
    <t>- We cannot improve the web app features by saving user info and details until we don't know how to store the user's data</t>
  </si>
  <si>
    <t>Sergi - 17/11/2022</t>
  </si>
  <si>
    <t>-Installing docker image and creating my tasks</t>
  </si>
  <si>
    <t>- Start frontend tasks</t>
  </si>
  <si>
    <t>- Some problems with windows and docker</t>
  </si>
  <si>
    <t>Sabina - 17/11/2022</t>
  </si>
  <si>
    <t>- Explore Github</t>
  </si>
  <si>
    <t>What specific task have you worked on and how much time is left on it?</t>
  </si>
  <si>
    <t>- Work with excel spreadsheet</t>
  </si>
  <si>
    <t>- Waiting for discussion about story points and estimation</t>
  </si>
  <si>
    <t>Sabina - 18/11/2022</t>
  </si>
  <si>
    <t>- Working with excel</t>
  </si>
  <si>
    <t>- Formulas in excel</t>
  </si>
  <si>
    <t>Gerard - 18/11/2022</t>
  </si>
  <si>
    <t>- Prepare the scripts to use the recommender in the future. However, the recommendations are arbitrarily currently (as mock-up)</t>
  </si>
  <si>
    <t>- 23.1 Use the recommender system in the work app; 2h (I am still in need of the serialized version of the recommender to use it)</t>
  </si>
  <si>
    <t>- Do research about which database is the best for our use case and how to use it (w/ or w/o API). The main candidate is MongoDB because of the easy integration with Python (as we saw in class). Nevertheless the implementation will be in the next sprint</t>
  </si>
  <si>
    <t>- Wait to implement the new (sequential) recommender to infer based just on the preferred movies (not the user id)</t>
  </si>
  <si>
    <t>- The new sequential model (which uses a list of preferred movies) is not ready yet</t>
  </si>
  <si>
    <t>Marta - 18/11/2022</t>
  </si>
  <si>
    <t>- Change the recommender model into a Sequential one .</t>
  </si>
  <si>
    <t>- 2.2, done, 2.5 hours</t>
  </si>
  <si>
    <t>- 2.3, change the dataset source (csv as input, instead of the spotlight.dataset)</t>
  </si>
  <si>
    <t>- 2.3, adapt the output of the model prediction to deploy it</t>
  </si>
  <si>
    <t>Sara - 18/11/2022</t>
  </si>
  <si>
    <t>- None</t>
  </si>
  <si>
    <t>- Investigate how to deploy the web app</t>
  </si>
  <si>
    <t>- Waiting to deploy</t>
  </si>
  <si>
    <t>Sergi - 18/11/2022</t>
  </si>
  <si>
    <t>- Start with task 8.6</t>
  </si>
  <si>
    <t>- 8.6, 3h</t>
  </si>
  <si>
    <t>- Work in the task 8.6</t>
  </si>
  <si>
    <t>- I'm being familiar with Streamlit</t>
  </si>
  <si>
    <t>Jordi - 18/11/2022</t>
  </si>
  <si>
    <t>- Work with the ingestion of the dataset in the model</t>
  </si>
  <si>
    <t>- 1.1 , done</t>
  </si>
  <si>
    <t>- Work in the ingestion-model-output , 1.2</t>
  </si>
  <si>
    <t>- Problem w/ spotlight's libraries/data types.</t>
  </si>
  <si>
    <t>Gerard - 21/11/2022</t>
  </si>
  <si>
    <t>- Do research about which database is the best for our use case and how to use it (w/ or w/o API). The main candidate is MongoDB because of the easy integration with Python (as we saw in class).</t>
  </si>
  <si>
    <t>- I already did research. Now it lacks to use the serialized version of the recommender (which is already available). Approx. 2h</t>
  </si>
  <si>
    <t>- Implement the recommender (the serialized version) so that the web app can perform actual predictions based on the movies list the user has input.</t>
  </si>
  <si>
    <t>- No, there are none</t>
  </si>
  <si>
    <t>Jordi - 21/11/2022</t>
  </si>
  <si>
    <t>- 1.2. 4h</t>
  </si>
  <si>
    <t>- 1.2.</t>
  </si>
  <si>
    <t>- Not yet.</t>
  </si>
  <si>
    <t>Sara - 21/11/2022</t>
  </si>
  <si>
    <t>- Investigate on the deployment of the web app.</t>
  </si>
  <si>
    <t>- Task 11.1, I have about 2 hrs left</t>
  </si>
  <si>
    <t>- I don't have anything planned.</t>
  </si>
  <si>
    <t>- Yes, I'm waiting for the web app to connect/use the serialized model.</t>
  </si>
  <si>
    <t>Sabina - 21/11/2022</t>
  </si>
  <si>
    <t>- Excel and teammeeting</t>
  </si>
  <si>
    <t>- Catch up, contact teacher</t>
  </si>
  <si>
    <t>Marta - 21/11/2022</t>
  </si>
  <si>
    <t>- Adapt the output of the Sequential model as I was asked for in order to be implemented.</t>
  </si>
  <si>
    <t>- US 2.3: I changed the output of the Sequential model as needed for the web app. Approx. 2h30 in total</t>
  </si>
  <si>
    <t>- Merge main my branch in order to adapt to the new structure of the project and merge my branch after the pull request is approved. In this way, I would have my tasks for the recommender model for this first sprint finished.</t>
  </si>
  <si>
    <t>- Wait for a correct implementation of the recommender model. Look for potential improvements for the model and data source for the following sprint.</t>
  </si>
  <si>
    <t>Sergi - 21/11/2022</t>
  </si>
  <si>
    <t>- Finish task 8.5 and 8.6</t>
  </si>
  <si>
    <t>- 8.5 and 8.6. 0 hours left</t>
  </si>
  <si>
    <t>- Improve more web fontend</t>
  </si>
  <si>
    <t>- Waiting Gerard to connect the model</t>
  </si>
  <si>
    <t>Marta - 22/11/2022</t>
  </si>
  <si>
    <t>- Merge main my branch in order to adapt to the new structure of the project and merge my branch after the pull request is approved. In this way, I had my specific tasks for the recommender model for this first sprint finished.</t>
  </si>
  <si>
    <t>- US 2.3: Approx. 30' in total</t>
  </si>
  <si>
    <t>- Nothing planned</t>
  </si>
  <si>
    <t>- Look for potential improvements for the model and data source for the following sprint.</t>
  </si>
  <si>
    <t>Sergi - 22/11/2022</t>
  </si>
  <si>
    <t>- Improve my frontend task 8.6 and 8.7</t>
  </si>
  <si>
    <t>- US 8.6: 0h left</t>
  </si>
  <si>
    <t>Jordi - 22/11/2022</t>
  </si>
  <si>
    <t>- Work in the task 1.2 to serialize and concatenate csvs.</t>
  </si>
  <si>
    <t>- 1.2. 2h</t>
  </si>
  <si>
    <t>- Spotlight class Interactions not straighforward</t>
  </si>
  <si>
    <t>Gerard - 22/11/2022</t>
  </si>
  <si>
    <t>-Implement the recommender (the serialized version) so that the web app can perform actual predictions based on the movies list the user has input.</t>
  </si>
  <si>
    <t>- Make the app work using the serialized recommender and its inputs/outputs, 0 h</t>
  </si>
  <si>
    <t>- Nothing, but to wait for the model deployment</t>
  </si>
  <si>
    <t>Gerard - 23/11/2022</t>
  </si>
  <si>
    <t>- Sprint retrospective, 2h</t>
  </si>
  <si>
    <t>- to carry out the Sprint retrospective and self-assessment</t>
  </si>
  <si>
    <t>- No, there are none. We will meet together today</t>
  </si>
  <si>
    <t>Sara . 23/11/2022</t>
  </si>
  <si>
    <t>- Task 11: Deploy web app, no time left.</t>
  </si>
  <si>
    <t>- Nothing, all my tasks are completed.</t>
  </si>
  <si>
    <t>Marta - 23/11/2022</t>
  </si>
  <si>
    <t>- Sprint retrospective and prepare the screencast for the Demo</t>
  </si>
  <si>
    <t>- We are meeting today to prepare the Demo</t>
  </si>
  <si>
    <t>Sergi - 23/11/2022</t>
  </si>
  <si>
    <t>- Sprint retrospective</t>
  </si>
  <si>
    <t xml:space="preserve">Gerard - 24/11 2022
What did you do yesterday?
- Sprint retrospective
What specific task have you worked on and how much time is left on it?
- Sprint retrospective, 0h
What will you do today?
- Carry out the sprint planning with the group
Are there any challenges in your way?
- None </t>
  </si>
  <si>
    <t>Gerard - 25/11 2022</t>
  </si>
  <si>
    <t xml:space="preserve">Gerard - 25/11
What did you do yesterday?
- Carry out the sprint planning with the group
What specific task have you worked on and how much time is left on it?
- Sprint planning, 0h
What will you do today?
- Initialize a MongoDB cluster and set it up
- Research the routines to fetch and write data (e.g. to keep it updated with the users information or for the model to fetch the movies information)
Are there any challenges in your way?
- Until Marta does not provide me the .csv's I cannot upload them; however, I can initialize and do research to implement it in the backend </t>
  </si>
  <si>
    <t>Sergi - 25/11 2022</t>
  </si>
  <si>
    <t>What did you do yesterday?
-Nothing
What specific task have you worked on and how much time is left on it?
- None
What will you do today?
- Nothing planned
Are there any challenges in your way?
- None</t>
  </si>
  <si>
    <t xml:space="preserve">Jordi- 24/11
What did you do yesterday?
- Sprint retrospective
What specific task have you worked on and how much time is left on it?
- Sprint retrospective, 0h
What will you do today?
- Carry out the sprint planning with the group
Are there any challenges in your way?
- None </t>
  </si>
  <si>
    <t>Jordi - 25/11
What did you do yesterday?
-Was not able to assist to the daily.
What specific task have you worked on and how much time is left on it?
- None
What will you do today?
- Nothing planned
Are there any challenges in your way?
- None</t>
  </si>
  <si>
    <t>Sara 25/11</t>
  </si>
  <si>
    <t>Sergi 28/11</t>
  </si>
  <si>
    <t>Gerard 28/11</t>
  </si>
  <si>
    <t>What did you do yesterday?
- Initialize a MongoDB cluster
What specific task have you worked on and how much time is left on it?
- Cluster initialization, 0h
What will you do today?
- Nothing
Are there any challenges in your way?
- Nothing</t>
  </si>
  <si>
    <t>Sara 28/11</t>
  </si>
  <si>
    <t>What did you do yesterday?
-Nothing
What specific task have you worked on and how much time is left on it?
- None
What will you do today?
- Nothing planned
Are there any challenges in your way?
- None
November 29, 2022</t>
  </si>
  <si>
    <t>Sergi 29/11</t>
  </si>
  <si>
    <t>Jordi 29/11</t>
  </si>
  <si>
    <t>Marta 29/11</t>
  </si>
  <si>
    <t>What did you do yesterday?
-I analyzed Spotlight documentation and found out that when the object 'interactions' is created, around 500 movies are lost, what causes the bug detected.
What specific task have you worked on and how much time is left on it?
- 1h
What will you do today?
- Look for those 500 movies and delete them from the data source.
Are there any challenges in your way?
- None</t>
  </si>
  <si>
    <t>Sara 29/11</t>
  </si>
  <si>
    <t>Gerard 29/11</t>
  </si>
  <si>
    <t>What did you do yesterday?
- Nothing 
What specific task have you worked on and how much time is left on it?
- None
What will you do today?
- Decide the structure of the MongoDB cluster (number of databases and collections)
- Implement some routines to add/delete/edit/get data in a user friendly way for the rest of the team, using the MongoDB Python API
Are there any challenges in your way?
- None</t>
  </si>
  <si>
    <t>Sara 30/11</t>
  </si>
  <si>
    <t>Marta 30/11</t>
  </si>
  <si>
    <t>What did you do yesterday?
-Worked and fixed bugs detected in the model
What specific task have you worked on and how much time is left on it?
- Bugs task, 2h
What will you do today?
- Nothing planned
Are there any challenges in your way?
- Correct bug modifications in the implementation</t>
  </si>
  <si>
    <t>What did you do yesterday?
- Decide the structure of the cluster and implement the main API functionalities
What specific task have you worked on and how much time is left on it?
- API routines implementation, 0h
What will you do today?
- Nothing
Are there any challenges in your way?
- None</t>
  </si>
  <si>
    <t>Jordi 30/11</t>
  </si>
  <si>
    <t>Marta 1/12</t>
  </si>
  <si>
    <t>What did you do yesterday?
- Nothing
What specific task have you worked on and how much time is left on it?
- 
What will you do today?
- Nothing planned so far
Are there any challenges in your way?
- We're meeting today</t>
  </si>
  <si>
    <t>Gerard 1/12</t>
  </si>
  <si>
    <t>What did you do yesterday?
- Nothing
What specific task have you worked on and how much time is left on it?
- None
What will you do today?
- Upload the curated .csv's (bug fixed by Marta) for the movies (metadata, ratings...)
- Register a first user and store his/her first preferences to the database
- Help with some frontend tasks
Are there any challenges in your way?
- None</t>
  </si>
  <si>
    <t xml:space="preserve">Sergi 2/12 </t>
  </si>
  <si>
    <t>What did you do yesterday?
- Nothing
What specific task have you worked on and how much time is left on it?
- US 6
What will you do today?
- Start with the register form
Are there any challenges in your way?
- None for the moment</t>
  </si>
  <si>
    <t>Sara 2/12</t>
  </si>
  <si>
    <t>What did you do yesterday?
-Investigate how to deploy a model in Azure
What specific task have you worked on and how much time is left on it?
- None
What will you do today?
- Continue investigating
Are there any challenges in your way?
- None</t>
  </si>
  <si>
    <t>Gerard 2/12</t>
  </si>
  <si>
    <t>What did you do yesterday?
- Upload the curated .csv's (bug fixed by Marta) for the movies (metadata, ratings...)
- Register a first user and store his/her first preferences to the database
- Help with some frontend tasks
What specific task have you worked on and how much time is left on it?
- First link of the frontend with the database (find available movies in the search bar), 2h
What will you do today?
- Update the movies collection from the 'movielens_1M' database so that each movie has:
  - 'Rating' field with the mean of user's ratings for that movie
  - 'Year' field with the year that movie was released
  - 'DisplayTitle' with the title for each movie (without the year) so that the titles displayed in the recommendations are nicer
- Ensure the search bar displays all the movies present in the database
- Add a category filter for the search bar
- Delete all kind of local dataset; fetch the data from the database. In particular, ensure the movie information is correctly displayed when the recommended movies are obtained from the movies
- Add a plotly interactive scatter graph for the movies
Are there any challenges in your way?
- None</t>
  </si>
  <si>
    <t>Jordi 2/12</t>
  </si>
  <si>
    <t>Sara 5/12</t>
  </si>
  <si>
    <t>What did you do yesterday?
- Finish the model deployment
- Implement Continuous deployment from the production branch
What specific task have you worked on and how much time is left on it?
- Model deployment to Azure, estimated time 10h, no time left
- Continuous deployment, estimated time 2h, no time left
What will you do today?
- Nothing
Are there any challenges in your way?
- None</t>
  </si>
  <si>
    <t>Gerard 5/12</t>
  </si>
  <si>
    <t>What did you do yesterday?
- Several tasks regarding: connecting frontend with database and improving frontend features
What specific task have you worked on and how much time is left on it?
- Using database instead of local .csv, estimated time 6h, 0h left
- Improving frontend features, estimated time 6h, 2h left (but not assigned to me)
What will you do today?
- Nothing
Are there any challenges in your way?
- None</t>
  </si>
  <si>
    <t>Gerard 6/12</t>
  </si>
  <si>
    <t>What did you do yesterday?
- Nothing
What specific task have you worked on and how much time is left on it?
- None
What will you do today?
- Nothing
Are there any challenges in your way?
- None</t>
  </si>
  <si>
    <t>Sara 6/12</t>
  </si>
  <si>
    <t>Sprint Evaluation</t>
  </si>
  <si>
    <t>Sprint 1</t>
  </si>
  <si>
    <t>Team Members</t>
  </si>
  <si>
    <t>Sabina</t>
  </si>
  <si>
    <t>---------------------------&gt;</t>
  </si>
  <si>
    <t>1 to 5</t>
  </si>
  <si>
    <t>[DIAGONAL---&gt; Self-assesment]</t>
  </si>
  <si>
    <t>[Rest of the matrix ----&gt; Teammates assesment]</t>
  </si>
  <si>
    <t>Sprint 2</t>
  </si>
  <si>
    <t>Sprint 3</t>
  </si>
  <si>
    <t>Sprint Retrospective</t>
  </si>
  <si>
    <t>What was good</t>
  </si>
  <si>
    <t>What was not so good</t>
  </si>
  <si>
    <t>Improve for next</t>
  </si>
  <si>
    <t>* Good prototype</t>
  </si>
  <si>
    <t>* Preparation of excel spreadsheet</t>
  </si>
  <si>
    <t>Better sprint planning and task division</t>
  </si>
  <si>
    <t>* Estimating on time</t>
  </si>
  <si>
    <t>Estimating on time</t>
  </si>
  <si>
    <t>* Communicating</t>
  </si>
  <si>
    <t>Communication</t>
  </si>
  <si>
    <t>* Planning took about half the sprint</t>
  </si>
  <si>
    <t>Improvement of the prototype</t>
  </si>
  <si>
    <t>Planning early</t>
  </si>
  <si>
    <t>Planning</t>
  </si>
  <si>
    <t>Better communication</t>
  </si>
  <si>
    <t>Doing the deployment without knowing its cost</t>
  </si>
  <si>
    <t>Distribution of tasks</t>
  </si>
  <si>
    <t>Definition of tasks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</si>
</sst>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0.0"/>
    <numFmt numFmtId="166" formatCode="&quot;Sprint &quot;#&quot; Backlog&quot;"/>
    <numFmt numFmtId="167" formatCode="&quot;Last &quot;###&quot; sprints&quot;"/>
  </numFmts>
  <fonts count="13">
    <font>
      <sz val="10"/>
      <name val="Arial"/>
    </font>
    <font>
      <b/>
      <sz val="10"/>
      <name val="Arial"/>
      <family val="2"/>
    </font>
    <font>
      <sz val="8"/>
      <name val="Arial"/>
      <family val="2"/>
    </font>
    <font>
      <sz val="14"/>
      <name val="Arial"/>
      <family val="2"/>
    </font>
    <font>
      <sz val="8"/>
      <color indexed="81"/>
      <name val="Tahoma"/>
      <family val="2"/>
    </font>
    <font>
      <i/>
      <sz val="10"/>
      <color indexed="12"/>
      <name val="Arial"/>
      <family val="2"/>
    </font>
    <font>
      <sz val="10"/>
      <color indexed="10"/>
      <name val="Arial"/>
      <family val="2"/>
    </font>
    <font>
      <b/>
      <sz val="10"/>
      <color indexed="10"/>
      <name val="Arial"/>
      <family val="2"/>
    </font>
    <font>
      <sz val="10"/>
      <name val="Arial"/>
      <family val="2"/>
    </font>
    <font>
      <b/>
      <sz val="8"/>
      <color indexed="8"/>
      <name val="Tahoma"/>
      <family val="2"/>
    </font>
    <font>
      <sz val="8"/>
      <color indexed="8"/>
      <name val="Tahoma"/>
      <family val="2"/>
    </font>
    <font>
      <b/>
      <sz val="14"/>
      <name val="Arial"/>
      <family val="2"/>
    </font>
    <font>
      <sz val="11"/>
      <color rgb="FF444444"/>
      <name val="Calibri"/>
      <family val="2"/>
      <charset val="1"/>
    </font>
  </fonts>
  <fills count="14">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bgColor indexed="64"/>
      </patternFill>
    </fill>
    <fill>
      <patternFill patternType="solid">
        <fgColor rgb="FFFFCC99"/>
        <bgColor rgb="FF000000"/>
      </patternFill>
    </fill>
    <fill>
      <patternFill patternType="solid">
        <fgColor rgb="FFFFFF99"/>
        <bgColor rgb="FF000000"/>
      </patternFill>
    </fill>
    <fill>
      <patternFill patternType="solid">
        <fgColor rgb="FFCDF9CB"/>
        <bgColor rgb="FF000000"/>
      </patternFill>
    </fill>
    <fill>
      <patternFill patternType="solid">
        <fgColor rgb="FFFFFFFF"/>
        <bgColor rgb="FF000000"/>
      </patternFill>
    </fill>
    <fill>
      <patternFill patternType="solid">
        <fgColor rgb="FFE2EFDA"/>
        <bgColor indexed="64"/>
      </patternFill>
    </fill>
  </fills>
  <borders count="33">
    <border>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126">
    <xf numFmtId="0" fontId="0" fillId="0" borderId="0" xfId="0"/>
    <xf numFmtId="0" fontId="1" fillId="0" borderId="0" xfId="0" applyFont="1"/>
    <xf numFmtId="0" fontId="0" fillId="0" borderId="0" xfId="0"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1" fillId="0" borderId="5" xfId="0" applyFont="1" applyBorder="1" applyAlignment="1">
      <alignment horizontal="center"/>
    </xf>
    <xf numFmtId="0" fontId="1" fillId="0" borderId="6" xfId="0" applyFont="1" applyBorder="1"/>
    <xf numFmtId="0" fontId="1" fillId="0" borderId="7" xfId="0" applyFont="1" applyBorder="1"/>
    <xf numFmtId="0" fontId="0" fillId="2" borderId="8"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3" fillId="0" borderId="0" xfId="0" applyFont="1"/>
    <xf numFmtId="0" fontId="0" fillId="2" borderId="0" xfId="0" applyFill="1"/>
    <xf numFmtId="0" fontId="1" fillId="0" borderId="0" xfId="0" applyFont="1" applyAlignment="1">
      <alignment horizontal="center"/>
    </xf>
    <xf numFmtId="0" fontId="1" fillId="2" borderId="0" xfId="0" applyFont="1" applyFill="1"/>
    <xf numFmtId="0" fontId="1" fillId="2" borderId="0" xfId="0" applyFont="1" applyFill="1" applyAlignment="1">
      <alignment horizontal="center"/>
    </xf>
    <xf numFmtId="0" fontId="0" fillId="2" borderId="0" xfId="0" applyFill="1" applyAlignment="1">
      <alignment horizontal="center"/>
    </xf>
    <xf numFmtId="0" fontId="0" fillId="0" borderId="11" xfId="0" applyBorder="1"/>
    <xf numFmtId="0" fontId="1" fillId="0" borderId="11" xfId="0" applyFont="1" applyBorder="1" applyAlignment="1">
      <alignment horizontal="right"/>
    </xf>
    <xf numFmtId="0" fontId="0" fillId="2" borderId="11" xfId="0" applyFill="1" applyBorder="1" applyAlignment="1">
      <alignment horizontal="center"/>
    </xf>
    <xf numFmtId="14" fontId="0" fillId="2" borderId="0" xfId="0" applyNumberFormat="1" applyFill="1" applyAlignment="1">
      <alignment horizontal="center"/>
    </xf>
    <xf numFmtId="0" fontId="0" fillId="0" borderId="3" xfId="0" applyBorder="1" applyAlignment="1">
      <alignment horizontal="left"/>
    </xf>
    <xf numFmtId="0" fontId="0" fillId="0" borderId="4" xfId="0" applyBorder="1" applyAlignment="1">
      <alignment horizontal="left"/>
    </xf>
    <xf numFmtId="0" fontId="0" fillId="0" borderId="0" xfId="0" applyAlignment="1">
      <alignment vertical="top" wrapText="1"/>
    </xf>
    <xf numFmtId="0" fontId="3"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xf numFmtId="0" fontId="0" fillId="0" borderId="12" xfId="0" applyBorder="1" applyAlignment="1">
      <alignment horizontal="center"/>
    </xf>
    <xf numFmtId="0" fontId="0" fillId="0" borderId="13" xfId="0" applyBorder="1" applyAlignment="1">
      <alignment horizontal="center"/>
    </xf>
    <xf numFmtId="164" fontId="0" fillId="2" borderId="0" xfId="0" applyNumberFormat="1" applyFill="1" applyAlignment="1">
      <alignment horizontal="center"/>
    </xf>
    <xf numFmtId="164" fontId="0" fillId="2" borderId="1" xfId="0" applyNumberFormat="1" applyFill="1" applyBorder="1" applyAlignment="1">
      <alignment horizontal="center"/>
    </xf>
    <xf numFmtId="0" fontId="0" fillId="2" borderId="1" xfId="0" applyFill="1" applyBorder="1" applyAlignment="1">
      <alignment horizontal="center"/>
    </xf>
    <xf numFmtId="164" fontId="0" fillId="2" borderId="11" xfId="0" applyNumberFormat="1" applyFill="1" applyBorder="1" applyAlignment="1">
      <alignment horizontal="center"/>
    </xf>
    <xf numFmtId="0" fontId="1" fillId="2" borderId="14" xfId="0" applyFont="1" applyFill="1" applyBorder="1" applyAlignment="1">
      <alignment horizontal="center" vertical="top"/>
    </xf>
    <xf numFmtId="0" fontId="1" fillId="2" borderId="14" xfId="0" applyFont="1" applyFill="1" applyBorder="1" applyAlignment="1">
      <alignment vertical="top" wrapText="1"/>
    </xf>
    <xf numFmtId="0" fontId="1" fillId="0" borderId="6" xfId="0" applyFont="1" applyBorder="1" applyAlignment="1">
      <alignment horizontal="center"/>
    </xf>
    <xf numFmtId="0" fontId="1" fillId="0" borderId="11" xfId="0" applyFont="1" applyBorder="1" applyAlignment="1">
      <alignment horizontal="center"/>
    </xf>
    <xf numFmtId="164" fontId="0" fillId="0" borderId="11" xfId="0" applyNumberFormat="1" applyBorder="1" applyAlignment="1">
      <alignment horizontal="center"/>
    </xf>
    <xf numFmtId="164" fontId="0" fillId="0" borderId="0" xfId="0" applyNumberFormat="1" applyAlignment="1">
      <alignment horizontal="center"/>
    </xf>
    <xf numFmtId="164" fontId="0" fillId="0" borderId="1" xfId="0" applyNumberFormat="1" applyBorder="1" applyAlignment="1">
      <alignment horizontal="center"/>
    </xf>
    <xf numFmtId="0" fontId="0" fillId="0" borderId="11" xfId="0" applyBorder="1" applyAlignment="1">
      <alignment horizontal="center"/>
    </xf>
    <xf numFmtId="0" fontId="1" fillId="0" borderId="15" xfId="0" applyFont="1" applyBorder="1" applyAlignment="1">
      <alignment horizontal="center"/>
    </xf>
    <xf numFmtId="0" fontId="3" fillId="0" borderId="0" xfId="0" applyFont="1" applyAlignment="1">
      <alignment vertical="top"/>
    </xf>
    <xf numFmtId="0" fontId="0" fillId="3" borderId="0" xfId="0" applyFill="1"/>
    <xf numFmtId="0" fontId="7" fillId="0" borderId="0" xfId="0" applyFont="1"/>
    <xf numFmtId="0" fontId="0" fillId="3" borderId="0" xfId="0" applyFill="1" applyAlignment="1">
      <alignment horizontal="center"/>
    </xf>
    <xf numFmtId="165" fontId="0" fillId="3" borderId="0" xfId="0" applyNumberFormat="1" applyFill="1"/>
    <xf numFmtId="1" fontId="0" fillId="3" borderId="0" xfId="0" applyNumberFormat="1" applyFill="1"/>
    <xf numFmtId="0" fontId="1" fillId="2" borderId="14" xfId="0" applyFont="1" applyFill="1" applyBorder="1" applyAlignment="1">
      <alignment horizontal="center"/>
    </xf>
    <xf numFmtId="0" fontId="1" fillId="2" borderId="14" xfId="0" applyFont="1" applyFill="1" applyBorder="1" applyAlignment="1">
      <alignment wrapText="1"/>
    </xf>
    <xf numFmtId="0" fontId="1" fillId="2" borderId="14" xfId="0" applyFont="1" applyFill="1" applyBorder="1" applyAlignment="1">
      <alignment horizontal="center" wrapText="1"/>
    </xf>
    <xf numFmtId="0" fontId="1" fillId="2" borderId="0" xfId="0" applyFont="1" applyFill="1" applyAlignment="1">
      <alignment horizontal="center" wrapText="1"/>
    </xf>
    <xf numFmtId="0" fontId="0" fillId="0" borderId="0" xfId="0" applyAlignment="1">
      <alignment wrapText="1"/>
    </xf>
    <xf numFmtId="0" fontId="1" fillId="2" borderId="0" xfId="0" applyFont="1" applyFill="1" applyAlignment="1">
      <alignment horizontal="left" wrapText="1"/>
    </xf>
    <xf numFmtId="165" fontId="0" fillId="0" borderId="0" xfId="0" applyNumberFormat="1"/>
    <xf numFmtId="0" fontId="1" fillId="2" borderId="0" xfId="0" applyFont="1" applyFill="1" applyAlignment="1">
      <alignment vertical="top"/>
    </xf>
    <xf numFmtId="0" fontId="0" fillId="2" borderId="0" xfId="0" applyFill="1" applyAlignment="1">
      <alignment vertical="top"/>
    </xf>
    <xf numFmtId="0" fontId="1" fillId="0" borderId="0" xfId="0" applyFont="1" applyAlignment="1">
      <alignment horizontal="center" vertical="top"/>
    </xf>
    <xf numFmtId="0" fontId="1" fillId="2" borderId="0" xfId="0" applyFont="1" applyFill="1" applyAlignment="1">
      <alignment horizontal="center" vertical="top"/>
    </xf>
    <xf numFmtId="0" fontId="0" fillId="0" borderId="3" xfId="0" applyBorder="1" applyAlignment="1">
      <alignment horizontal="center"/>
    </xf>
    <xf numFmtId="0" fontId="1" fillId="0" borderId="2" xfId="0" applyFont="1" applyBorder="1"/>
    <xf numFmtId="17" fontId="0" fillId="0" borderId="0" xfId="0" applyNumberFormat="1" applyAlignment="1">
      <alignment vertical="top"/>
    </xf>
    <xf numFmtId="17" fontId="0" fillId="0" borderId="0" xfId="0" applyNumberFormat="1" applyAlignment="1">
      <alignment vertical="top" wrapText="1"/>
    </xf>
    <xf numFmtId="17" fontId="0" fillId="0" borderId="0" xfId="0" applyNumberFormat="1" applyAlignment="1">
      <alignment horizontal="center" vertical="top"/>
    </xf>
    <xf numFmtId="14" fontId="0" fillId="0" borderId="0" xfId="0" applyNumberFormat="1" applyAlignment="1">
      <alignment horizontal="center"/>
    </xf>
    <xf numFmtId="0" fontId="0" fillId="0" borderId="0" xfId="0" applyAlignment="1">
      <alignment horizontal="center" vertical="top" wrapText="1"/>
    </xf>
    <xf numFmtId="0" fontId="1" fillId="2" borderId="14" xfId="0" applyFont="1" applyFill="1" applyBorder="1" applyAlignment="1">
      <alignment horizontal="left" vertical="top" wrapText="1"/>
    </xf>
    <xf numFmtId="0" fontId="0" fillId="0" borderId="15" xfId="0" applyBorder="1"/>
    <xf numFmtId="0" fontId="8" fillId="0" borderId="0" xfId="0" applyFont="1" applyAlignment="1">
      <alignment wrapText="1"/>
    </xf>
    <xf numFmtId="0" fontId="8" fillId="0" borderId="0" xfId="0" applyFont="1"/>
    <xf numFmtId="0" fontId="8" fillId="0" borderId="0" xfId="0" applyFont="1" applyAlignment="1">
      <alignment horizontal="center" vertical="top"/>
    </xf>
    <xf numFmtId="0" fontId="8" fillId="0" borderId="15" xfId="0" applyFont="1" applyBorder="1"/>
    <xf numFmtId="0" fontId="8" fillId="0" borderId="0" xfId="0" applyFont="1" applyAlignment="1">
      <alignment horizontal="left" vertical="top" wrapText="1"/>
    </xf>
    <xf numFmtId="0" fontId="8" fillId="8" borderId="0" xfId="0" applyFont="1" applyFill="1" applyAlignment="1">
      <alignment vertical="top"/>
    </xf>
    <xf numFmtId="0" fontId="0" fillId="0" borderId="16" xfId="0" applyBorder="1" applyAlignment="1">
      <alignment vertical="top"/>
    </xf>
    <xf numFmtId="0" fontId="1" fillId="0" borderId="17" xfId="0" applyFont="1" applyBorder="1" applyAlignment="1">
      <alignment horizontal="center" vertical="top"/>
    </xf>
    <xf numFmtId="0" fontId="0" fillId="0" borderId="18" xfId="0" applyBorder="1" applyAlignment="1">
      <alignment vertical="top"/>
    </xf>
    <xf numFmtId="0" fontId="0" fillId="0" borderId="19" xfId="0" applyBorder="1" applyAlignment="1">
      <alignment vertical="top"/>
    </xf>
    <xf numFmtId="0" fontId="0" fillId="0" borderId="20" xfId="0" applyBorder="1" applyAlignment="1">
      <alignment vertical="top"/>
    </xf>
    <xf numFmtId="0" fontId="0" fillId="0" borderId="21" xfId="0" applyBorder="1" applyAlignment="1">
      <alignment vertical="top"/>
    </xf>
    <xf numFmtId="0" fontId="0" fillId="0" borderId="1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6" xfId="0" applyBorder="1" applyAlignment="1">
      <alignment vertical="top"/>
    </xf>
    <xf numFmtId="0" fontId="0" fillId="0" borderId="28" xfId="0" applyBorder="1" applyAlignment="1">
      <alignment vertical="top"/>
    </xf>
    <xf numFmtId="0" fontId="0" fillId="0" borderId="29" xfId="0" applyBorder="1" applyAlignment="1">
      <alignment vertical="top" wrapText="1"/>
    </xf>
    <xf numFmtId="0" fontId="11" fillId="0" borderId="30" xfId="0" applyFont="1" applyBorder="1" applyAlignment="1">
      <alignment horizontal="center" vertical="center"/>
    </xf>
    <xf numFmtId="0" fontId="0" fillId="0" borderId="31" xfId="0" applyBorder="1" applyAlignment="1">
      <alignment vertical="top" wrapText="1"/>
    </xf>
    <xf numFmtId="0" fontId="0" fillId="0" borderId="30" xfId="0" applyBorder="1" applyAlignment="1">
      <alignment vertical="top"/>
    </xf>
    <xf numFmtId="0" fontId="0" fillId="0" borderId="32" xfId="0" applyBorder="1" applyAlignment="1">
      <alignment vertical="top"/>
    </xf>
    <xf numFmtId="0" fontId="8" fillId="0" borderId="0" xfId="0" quotePrefix="1" applyFont="1"/>
    <xf numFmtId="0" fontId="0" fillId="8" borderId="0" xfId="0" applyFill="1" applyAlignment="1">
      <alignment horizontal="right" vertical="top"/>
    </xf>
    <xf numFmtId="0" fontId="8" fillId="0" borderId="2" xfId="0" applyFont="1" applyBorder="1" applyAlignment="1">
      <alignment horizontal="left"/>
    </xf>
    <xf numFmtId="0" fontId="8" fillId="0" borderId="3" xfId="0" applyFont="1" applyBorder="1" applyAlignment="1">
      <alignment horizontal="left"/>
    </xf>
    <xf numFmtId="0" fontId="8" fillId="0" borderId="0" xfId="0" applyFont="1" applyAlignment="1">
      <alignment vertical="top" wrapText="1"/>
    </xf>
    <xf numFmtId="0" fontId="8" fillId="0" borderId="0" xfId="0" applyFont="1" applyAlignment="1">
      <alignment horizontal="center" vertical="top" wrapText="1"/>
    </xf>
    <xf numFmtId="166" fontId="3" fillId="0" borderId="0" xfId="0" applyNumberFormat="1" applyFont="1" applyAlignment="1">
      <alignment horizontal="left" vertical="top"/>
    </xf>
    <xf numFmtId="166" fontId="3" fillId="0" borderId="0" xfId="0" applyNumberFormat="1" applyFont="1" applyAlignment="1">
      <alignment horizontal="center" vertical="top"/>
    </xf>
    <xf numFmtId="166" fontId="3" fillId="0" borderId="0" xfId="0" applyNumberFormat="1" applyFont="1" applyAlignment="1">
      <alignment horizontal="left"/>
    </xf>
    <xf numFmtId="166" fontId="3" fillId="0" borderId="0" xfId="0" applyNumberFormat="1" applyFont="1" applyAlignment="1">
      <alignment horizontal="center"/>
    </xf>
    <xf numFmtId="0" fontId="8" fillId="4" borderId="0" xfId="0" applyFont="1" applyFill="1"/>
    <xf numFmtId="0" fontId="8" fillId="5" borderId="0" xfId="0" applyFont="1" applyFill="1"/>
    <xf numFmtId="49" fontId="8" fillId="0" borderId="0" xfId="0" applyNumberFormat="1" applyFont="1"/>
    <xf numFmtId="0" fontId="8" fillId="6" borderId="15" xfId="0" applyFont="1" applyFill="1" applyBorder="1"/>
    <xf numFmtId="0" fontId="8" fillId="4" borderId="15" xfId="0" applyFont="1" applyFill="1" applyBorder="1"/>
    <xf numFmtId="0" fontId="8" fillId="7" borderId="15" xfId="0" applyFont="1" applyFill="1" applyBorder="1"/>
    <xf numFmtId="0" fontId="1" fillId="9" borderId="0" xfId="0" applyFont="1" applyFill="1"/>
    <xf numFmtId="0" fontId="0" fillId="9" borderId="0" xfId="0" applyFill="1"/>
    <xf numFmtId="0" fontId="0" fillId="10" borderId="0" xfId="0" applyFill="1"/>
    <xf numFmtId="0" fontId="8" fillId="10" borderId="0" xfId="0" applyFont="1" applyFill="1"/>
    <xf numFmtId="0" fontId="0" fillId="11" borderId="0" xfId="0" applyFill="1"/>
    <xf numFmtId="0" fontId="8" fillId="12" borderId="0" xfId="0" applyFont="1" applyFill="1"/>
    <xf numFmtId="0" fontId="12" fillId="0" borderId="0" xfId="0" applyFont="1"/>
    <xf numFmtId="0" fontId="0" fillId="13" borderId="0" xfId="0" applyFill="1"/>
    <xf numFmtId="167" fontId="0" fillId="0" borderId="0" xfId="0" applyNumberFormat="1" applyAlignment="1">
      <alignment horizontal="left"/>
    </xf>
    <xf numFmtId="0" fontId="6" fillId="2" borderId="0" xfId="0" applyFont="1" applyFill="1" applyAlignment="1">
      <alignment horizontal="center" wrapText="1"/>
    </xf>
    <xf numFmtId="0" fontId="1" fillId="2" borderId="0" xfId="0" applyFont="1" applyFill="1" applyAlignment="1">
      <alignment horizontal="center" wrapText="1"/>
    </xf>
    <xf numFmtId="0" fontId="8" fillId="0" borderId="0" xfId="0" applyFont="1" applyAlignment="1">
      <alignment wrapText="1"/>
    </xf>
  </cellXfs>
  <cellStyles count="1">
    <cellStyle name="Normal" xfId="0" builtinId="0"/>
  </cellStyles>
  <dxfs count="30">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patternType="lightUp">
          <fgColor indexed="10"/>
          <bgColor indexed="65"/>
        </patternFill>
      </fill>
    </dxf>
    <dxf>
      <fill>
        <patternFill>
          <bgColor indexed="43"/>
        </patternFill>
      </fill>
    </dxf>
    <dxf>
      <fill>
        <patternFill>
          <bgColor indexed="42"/>
        </patternFill>
      </fill>
    </dxf>
    <dxf>
      <fill>
        <patternFill patternType="lightUp">
          <fgColor indexed="10"/>
          <bgColor indexed="65"/>
        </patternFill>
      </fill>
    </dxf>
    <dxf>
      <fill>
        <patternFill>
          <bgColor indexed="43"/>
        </patternFill>
      </fill>
    </dxf>
    <dxf>
      <fill>
        <patternFill>
          <bgColor indexed="42"/>
        </patternFill>
      </fill>
    </dxf>
    <dxf>
      <fill>
        <patternFill patternType="lightUp">
          <fgColor indexed="10"/>
          <bgColor indexed="65"/>
        </patternFill>
      </fill>
    </dxf>
    <dxf>
      <fill>
        <patternFill>
          <bgColor indexed="43"/>
        </patternFill>
      </fill>
    </dxf>
    <dxf>
      <fill>
        <patternFill>
          <bgColor indexed="42"/>
        </patternFill>
      </fill>
    </dxf>
    <dxf>
      <fill>
        <patternFill patternType="lightUp">
          <fgColor indexed="10"/>
          <bgColor indexed="65"/>
        </patternFill>
      </fill>
    </dxf>
    <dxf>
      <fill>
        <patternFill>
          <bgColor indexed="43"/>
        </patternFill>
      </fill>
    </dxf>
    <dxf>
      <fill>
        <patternFill>
          <bgColor indexed="42"/>
        </patternFill>
      </fill>
    </dxf>
    <dxf>
      <fill>
        <patternFill patternType="lightUp">
          <fgColor indexed="10"/>
          <bgColor indexed="65"/>
        </patternFill>
      </fill>
    </dxf>
    <dxf>
      <fill>
        <patternFill>
          <bgColor indexed="43"/>
        </patternFill>
      </fill>
    </dxf>
    <dxf>
      <fill>
        <patternFill>
          <bgColor indexed="42"/>
        </patternFill>
      </fill>
    </dxf>
    <dxf>
      <font>
        <b/>
        <i val="0"/>
        <condense val="0"/>
        <extend val="0"/>
      </font>
    </dxf>
    <dxf>
      <font>
        <condense val="0"/>
        <extend val="0"/>
        <color indexed="54"/>
      </font>
    </dxf>
    <dxf>
      <font>
        <condense val="0"/>
        <extend val="0"/>
        <color indexed="9"/>
      </font>
    </dxf>
    <dxf>
      <font>
        <b/>
        <i val="0"/>
        <condense val="0"/>
        <extend val="0"/>
      </font>
    </dxf>
    <dxf>
      <font>
        <condense val="0"/>
        <extend val="0"/>
        <color indexed="54"/>
      </font>
    </dxf>
    <dxf>
      <font>
        <b/>
        <i val="0"/>
        <condense val="0"/>
        <extend val="0"/>
      </font>
    </dxf>
    <dxf>
      <font>
        <condense val="0"/>
        <extend val="0"/>
        <color indexed="54"/>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Verdana"/>
                <a:ea typeface="Verdana"/>
                <a:cs typeface="Verdana"/>
              </a:defRPr>
            </a:pPr>
            <a:r>
              <a:rPr lang="en-US"/>
              <a:t>Velocity and Remaining Work</a:t>
            </a:r>
          </a:p>
        </c:rich>
      </c:tx>
      <c:layout>
        <c:manualLayout>
          <c:xMode val="edge"/>
          <c:yMode val="edge"/>
          <c:x val="0.2407021415316716"/>
          <c:y val="1.6598258551014457E-2"/>
        </c:manualLayout>
      </c:layout>
      <c:overlay val="0"/>
      <c:spPr>
        <a:noFill/>
        <a:ln w="25400">
          <a:noFill/>
        </a:ln>
      </c:spPr>
    </c:title>
    <c:autoTitleDeleted val="0"/>
    <c:plotArea>
      <c:layout>
        <c:manualLayout>
          <c:layoutTarget val="inner"/>
          <c:xMode val="edge"/>
          <c:yMode val="edge"/>
          <c:x val="7.4443998656881963E-2"/>
          <c:y val="0.11203684110752782"/>
          <c:w val="0.90077238374827173"/>
          <c:h val="0.78840740038630686"/>
        </c:manualLayout>
      </c:layout>
      <c:lineChart>
        <c:grouping val="standard"/>
        <c:varyColors val="0"/>
        <c:ser>
          <c:idx val="0"/>
          <c:order val="0"/>
          <c:tx>
            <c:v>Remaining Work</c:v>
          </c:tx>
          <c:spPr>
            <a:ln w="19050">
              <a:noFill/>
            </a:ln>
          </c:spPr>
          <c:marker>
            <c:symbol val="none"/>
          </c:marker>
          <c:val>
            <c:numRef>
              <c:f>[0]!ColTopRemainingWork</c:f>
              <c:numCache>
                <c:formatCode>General</c:formatCode>
                <c:ptCount val="3"/>
                <c:pt idx="0">
                  <c:v>68</c:v>
                </c:pt>
                <c:pt idx="1">
                  <c:v>48</c:v>
                </c:pt>
                <c:pt idx="2">
                  <c:v>0</c:v>
                </c:pt>
              </c:numCache>
            </c:numRef>
          </c:val>
          <c:smooth val="0"/>
          <c:extLst>
            <c:ext xmlns:c16="http://schemas.microsoft.com/office/drawing/2014/chart" uri="{C3380CC4-5D6E-409C-BE32-E72D297353CC}">
              <c16:uniqueId val="{00000000-B8A6-4D1B-AB8E-D27069DA9A6F}"/>
            </c:ext>
          </c:extLst>
        </c:ser>
        <c:ser>
          <c:idx val="1"/>
          <c:order val="1"/>
          <c:spPr>
            <a:ln w="19050">
              <a:noFill/>
            </a:ln>
          </c:spPr>
          <c:marker>
            <c:symbol val="none"/>
          </c:marker>
          <c:val>
            <c:numRef>
              <c:f>[0]!ColTopRemainingWork</c:f>
              <c:numCache>
                <c:formatCode>General</c:formatCode>
                <c:ptCount val="3"/>
                <c:pt idx="0">
                  <c:v>68</c:v>
                </c:pt>
                <c:pt idx="1">
                  <c:v>48</c:v>
                </c:pt>
                <c:pt idx="2">
                  <c:v>0</c:v>
                </c:pt>
              </c:numCache>
            </c:numRef>
          </c:val>
          <c:smooth val="0"/>
          <c:extLst>
            <c:ext xmlns:c16="http://schemas.microsoft.com/office/drawing/2014/chart" uri="{C3380CC4-5D6E-409C-BE32-E72D297353CC}">
              <c16:uniqueId val="{00000001-B8A6-4D1B-AB8E-D27069DA9A6F}"/>
            </c:ext>
          </c:extLst>
        </c:ser>
        <c:ser>
          <c:idx val="5"/>
          <c:order val="2"/>
          <c:tx>
            <c:v>Current bottom</c:v>
          </c:tx>
          <c:spPr>
            <a:ln w="12700">
              <a:solidFill>
                <a:srgbClr val="FF0000"/>
              </a:solidFill>
              <a:prstDash val="solid"/>
            </a:ln>
          </c:spPr>
          <c:marker>
            <c:symbol val="none"/>
          </c:marker>
          <c:val>
            <c:numRef>
              <c:f>[0]!PBCurrentBottom</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B8A6-4D1B-AB8E-D27069DA9A6F}"/>
            </c:ext>
          </c:extLst>
        </c:ser>
        <c:ser>
          <c:idx val="2"/>
          <c:order val="3"/>
          <c:spPr>
            <a:ln w="19050">
              <a:noFill/>
            </a:ln>
          </c:spPr>
          <c:marker>
            <c:symbol val="none"/>
          </c:marker>
          <c:val>
            <c:numRef>
              <c:f>[0]!ColBottomCurrentScope</c:f>
              <c:numCache>
                <c:formatCode>General</c:formatCode>
                <c:ptCount val="3"/>
                <c:pt idx="0">
                  <c:v>0</c:v>
                </c:pt>
                <c:pt idx="1">
                  <c:v>0</c:v>
                </c:pt>
                <c:pt idx="2">
                  <c:v>27</c:v>
                </c:pt>
              </c:numCache>
            </c:numRef>
          </c:val>
          <c:smooth val="0"/>
          <c:extLst>
            <c:ext xmlns:c16="http://schemas.microsoft.com/office/drawing/2014/chart" uri="{C3380CC4-5D6E-409C-BE32-E72D297353CC}">
              <c16:uniqueId val="{00000003-B8A6-4D1B-AB8E-D27069DA9A6F}"/>
            </c:ext>
          </c:extLst>
        </c:ser>
        <c:ser>
          <c:idx val="4"/>
          <c:order val="4"/>
          <c:tx>
            <c:v>Trend</c:v>
          </c:tx>
          <c:spPr>
            <a:ln w="25400">
              <a:solidFill>
                <a:srgbClr val="800080"/>
              </a:solidFill>
              <a:prstDash val="solid"/>
            </a:ln>
          </c:spPr>
          <c:marker>
            <c:symbol val="square"/>
            <c:size val="6"/>
            <c:spPr>
              <a:solidFill>
                <a:srgbClr val="800080"/>
              </a:solidFill>
              <a:ln>
                <a:solidFill>
                  <a:srgbClr val="800080"/>
                </a:solidFill>
                <a:prstDash val="solid"/>
              </a:ln>
            </c:spPr>
          </c:marker>
          <c:val>
            <c:numRef>
              <c:f>[0]!PBTrend</c:f>
              <c:numCache>
                <c:formatCode>General</c:formatCode>
                <c:ptCount val="5"/>
                <c:pt idx="0">
                  <c:v>68</c:v>
                </c:pt>
                <c:pt idx="1">
                  <c:v>47.999999999999993</c:v>
                </c:pt>
                <c:pt idx="2">
                  <c:v>27.999999999999986</c:v>
                </c:pt>
                <c:pt idx="3">
                  <c:v>7.9999999999999858</c:v>
                </c:pt>
                <c:pt idx="4">
                  <c:v>0</c:v>
                </c:pt>
              </c:numCache>
            </c:numRef>
          </c:val>
          <c:smooth val="0"/>
          <c:extLst>
            <c:ext xmlns:c16="http://schemas.microsoft.com/office/drawing/2014/chart" uri="{C3380CC4-5D6E-409C-BE32-E72D297353CC}">
              <c16:uniqueId val="{00000004-B8A6-4D1B-AB8E-D27069DA9A6F}"/>
            </c:ext>
          </c:extLst>
        </c:ser>
        <c:ser>
          <c:idx val="3"/>
          <c:order val="5"/>
          <c:tx>
            <c:v>Current Scope</c:v>
          </c:tx>
          <c:spPr>
            <a:ln w="19050">
              <a:noFill/>
            </a:ln>
          </c:spPr>
          <c:marker>
            <c:symbol val="none"/>
          </c:marker>
          <c:val>
            <c:numRef>
              <c:f>[0]!ColBottomCurrentScope</c:f>
              <c:numCache>
                <c:formatCode>General</c:formatCode>
                <c:ptCount val="3"/>
                <c:pt idx="0">
                  <c:v>0</c:v>
                </c:pt>
                <c:pt idx="1">
                  <c:v>0</c:v>
                </c:pt>
                <c:pt idx="2">
                  <c:v>27</c:v>
                </c:pt>
              </c:numCache>
            </c:numRef>
          </c:val>
          <c:smooth val="0"/>
          <c:extLst>
            <c:ext xmlns:c16="http://schemas.microsoft.com/office/drawing/2014/chart" uri="{C3380CC4-5D6E-409C-BE32-E72D297353CC}">
              <c16:uniqueId val="{00000005-B8A6-4D1B-AB8E-D27069DA9A6F}"/>
            </c:ext>
          </c:extLst>
        </c:ser>
        <c:dLbls>
          <c:showLegendKey val="0"/>
          <c:showVal val="0"/>
          <c:showCatName val="0"/>
          <c:showSerName val="0"/>
          <c:showPercent val="0"/>
          <c:showBubbleSize val="0"/>
        </c:dLbls>
        <c:upDownBars>
          <c:gapWidth val="30"/>
          <c:upBars>
            <c:spPr>
              <a:solidFill>
                <a:srgbClr val="FFFFFF"/>
              </a:solidFill>
              <a:ln w="3175">
                <a:solidFill>
                  <a:srgbClr val="000000"/>
                </a:solidFill>
                <a:prstDash val="solid"/>
              </a:ln>
            </c:spPr>
          </c:upBars>
          <c:downBars>
            <c:spPr>
              <a:solidFill>
                <a:srgbClr val="9999FF"/>
              </a:solidFill>
              <a:ln w="3175">
                <a:solidFill>
                  <a:srgbClr val="000000"/>
                </a:solidFill>
                <a:prstDash val="solid"/>
              </a:ln>
            </c:spPr>
          </c:downBars>
        </c:upDownBars>
        <c:smooth val="0"/>
        <c:axId val="1730292624"/>
        <c:axId val="1"/>
      </c:lineChart>
      <c:catAx>
        <c:axId val="1730292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2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30292624"/>
        <c:crosses val="autoZero"/>
        <c:crossBetween val="between"/>
      </c:valAx>
      <c:spPr>
        <a:solidFill>
          <a:srgbClr val="C0C0C0"/>
        </a:solidFill>
        <a:ln w="12700">
          <a:solidFill>
            <a:srgbClr val="80808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Verdana"/>
                <a:ea typeface="Verdana"/>
                <a:cs typeface="Verdana"/>
              </a:defRPr>
            </a:pPr>
            <a:r>
              <a:rPr lang="en-US"/>
              <a:t>Development Velocity</a:t>
            </a:r>
          </a:p>
        </c:rich>
      </c:tx>
      <c:layout>
        <c:manualLayout>
          <c:xMode val="edge"/>
          <c:yMode val="edge"/>
          <c:x val="0.30522047801349672"/>
          <c:y val="3.3583166001098001E-2"/>
        </c:manualLayout>
      </c:layout>
      <c:overlay val="0"/>
      <c:spPr>
        <a:noFill/>
        <a:ln w="25400">
          <a:noFill/>
        </a:ln>
      </c:spPr>
    </c:title>
    <c:autoTitleDeleted val="0"/>
    <c:plotArea>
      <c:layout>
        <c:manualLayout>
          <c:layoutTarget val="inner"/>
          <c:xMode val="edge"/>
          <c:yMode val="edge"/>
          <c:x val="7.6925465278778027E-2"/>
          <c:y val="0.11940666306935327"/>
          <c:w val="0.89580945050447958"/>
          <c:h val="0.67912539620694679"/>
        </c:manualLayout>
      </c:layout>
      <c:barChart>
        <c:barDir val="col"/>
        <c:grouping val="clustered"/>
        <c:varyColors val="0"/>
        <c:ser>
          <c:idx val="4"/>
          <c:order val="0"/>
          <c:tx>
            <c:v>Planned Speed</c:v>
          </c:tx>
          <c:spPr>
            <a:solidFill>
              <a:srgbClr val="FFFFFF"/>
            </a:solidFill>
            <a:ln w="12700">
              <a:solidFill>
                <a:srgbClr val="000000"/>
              </a:solidFill>
              <a:prstDash val="solid"/>
            </a:ln>
          </c:spPr>
          <c:invertIfNegative val="0"/>
          <c:val>
            <c:numRef>
              <c:f>[0]!PlannedSpeed</c:f>
              <c:numCache>
                <c:formatCode>General</c:formatCode>
                <c:ptCount val="3"/>
                <c:pt idx="0">
                  <c:v>20</c:v>
                </c:pt>
                <c:pt idx="1">
                  <c:v>21</c:v>
                </c:pt>
                <c:pt idx="2">
                  <c:v>15</c:v>
                </c:pt>
              </c:numCache>
            </c:numRef>
          </c:val>
          <c:extLst>
            <c:ext xmlns:c16="http://schemas.microsoft.com/office/drawing/2014/chart" uri="{C3380CC4-5D6E-409C-BE32-E72D297353CC}">
              <c16:uniqueId val="{00000000-4373-4E02-BD46-25ABD2EDD76F}"/>
            </c:ext>
          </c:extLst>
        </c:ser>
        <c:ser>
          <c:idx val="0"/>
          <c:order val="1"/>
          <c:tx>
            <c:v>Realized Speed</c:v>
          </c:tx>
          <c:spPr>
            <a:solidFill>
              <a:srgbClr val="9999FF"/>
            </a:solidFill>
            <a:ln w="12700">
              <a:solidFill>
                <a:srgbClr val="000000"/>
              </a:solidFill>
              <a:prstDash val="solid"/>
            </a:ln>
          </c:spPr>
          <c:invertIfNegative val="0"/>
          <c:val>
            <c:numRef>
              <c:f>[0]!RealizedSpeed</c:f>
              <c:numCache>
                <c:formatCode>General</c:formatCode>
                <c:ptCount val="3"/>
                <c:pt idx="0">
                  <c:v>20</c:v>
                </c:pt>
              </c:numCache>
            </c:numRef>
          </c:val>
          <c:extLst>
            <c:ext xmlns:c16="http://schemas.microsoft.com/office/drawing/2014/chart" uri="{C3380CC4-5D6E-409C-BE32-E72D297353CC}">
              <c16:uniqueId val="{00000001-4373-4E02-BD46-25ABD2EDD76F}"/>
            </c:ext>
          </c:extLst>
        </c:ser>
        <c:dLbls>
          <c:showLegendKey val="0"/>
          <c:showVal val="0"/>
          <c:showCatName val="0"/>
          <c:showSerName val="0"/>
          <c:showPercent val="0"/>
          <c:showBubbleSize val="0"/>
        </c:dLbls>
        <c:gapWidth val="50"/>
        <c:axId val="1730289296"/>
        <c:axId val="1"/>
      </c:barChart>
      <c:lineChart>
        <c:grouping val="standard"/>
        <c:varyColors val="0"/>
        <c:ser>
          <c:idx val="1"/>
          <c:order val="2"/>
          <c:tx>
            <c:v>Average Realized</c:v>
          </c:tx>
          <c:spPr>
            <a:ln w="25400">
              <a:solidFill>
                <a:srgbClr val="FF0000"/>
              </a:solidFill>
              <a:prstDash val="solid"/>
            </a:ln>
          </c:spPr>
          <c:marker>
            <c:symbol val="none"/>
          </c:marker>
          <c:val>
            <c:numRef>
              <c:f>[0]!AverageSpeedRealized</c:f>
              <c:numCache>
                <c:formatCode>0.0</c:formatCode>
                <c:ptCount val="3"/>
                <c:pt idx="0">
                  <c:v>20</c:v>
                </c:pt>
                <c:pt idx="1">
                  <c:v>20</c:v>
                </c:pt>
                <c:pt idx="2">
                  <c:v>20</c:v>
                </c:pt>
              </c:numCache>
            </c:numRef>
          </c:val>
          <c:smooth val="0"/>
          <c:extLst>
            <c:ext xmlns:c16="http://schemas.microsoft.com/office/drawing/2014/chart" uri="{C3380CC4-5D6E-409C-BE32-E72D297353CC}">
              <c16:uniqueId val="{00000002-4373-4E02-BD46-25ABD2EDD76F}"/>
            </c:ext>
          </c:extLst>
        </c:ser>
        <c:ser>
          <c:idx val="2"/>
          <c:order val="3"/>
          <c:tx>
            <c:v>Avg. Last 8</c:v>
          </c:tx>
          <c:spPr>
            <a:ln w="25400">
              <a:solidFill>
                <a:srgbClr val="008000"/>
              </a:solidFill>
              <a:prstDash val="lgDashDotDot"/>
            </a:ln>
          </c:spPr>
          <c:marker>
            <c:symbol val="none"/>
          </c:marker>
          <c:val>
            <c:numRef>
              <c:f>[0]!AverageSpeedLastEight</c:f>
              <c:numCache>
                <c:formatCode>0.0</c:formatCode>
                <c:ptCount val="3"/>
                <c:pt idx="0">
                  <c:v>20</c:v>
                </c:pt>
                <c:pt idx="1">
                  <c:v>20</c:v>
                </c:pt>
                <c:pt idx="2">
                  <c:v>20</c:v>
                </c:pt>
              </c:numCache>
            </c:numRef>
          </c:val>
          <c:smooth val="0"/>
          <c:extLst>
            <c:ext xmlns:c16="http://schemas.microsoft.com/office/drawing/2014/chart" uri="{C3380CC4-5D6E-409C-BE32-E72D297353CC}">
              <c16:uniqueId val="{00000003-4373-4E02-BD46-25ABD2EDD76F}"/>
            </c:ext>
          </c:extLst>
        </c:ser>
        <c:ser>
          <c:idx val="3"/>
          <c:order val="4"/>
          <c:tx>
            <c:v>Avg. Worst 3 in Last 8</c:v>
          </c:tx>
          <c:spPr>
            <a:ln w="25400">
              <a:solidFill>
                <a:srgbClr val="0000FF"/>
              </a:solidFill>
              <a:prstDash val="sysDash"/>
            </a:ln>
          </c:spPr>
          <c:marker>
            <c:symbol val="none"/>
          </c:marker>
          <c:val>
            <c:numRef>
              <c:f>[0]!AverageSpeedWorstThree</c:f>
              <c:numCache>
                <c:formatCode>0.0</c:formatCode>
                <c:ptCount val="3"/>
                <c:pt idx="0">
                  <c:v>20</c:v>
                </c:pt>
                <c:pt idx="1">
                  <c:v>20</c:v>
                </c:pt>
                <c:pt idx="2">
                  <c:v>20</c:v>
                </c:pt>
              </c:numCache>
            </c:numRef>
          </c:val>
          <c:smooth val="0"/>
          <c:extLst>
            <c:ext xmlns:c16="http://schemas.microsoft.com/office/drawing/2014/chart" uri="{C3380CC4-5D6E-409C-BE32-E72D297353CC}">
              <c16:uniqueId val="{00000004-4373-4E02-BD46-25ABD2EDD76F}"/>
            </c:ext>
          </c:extLst>
        </c:ser>
        <c:dLbls>
          <c:showLegendKey val="0"/>
          <c:showVal val="0"/>
          <c:showCatName val="0"/>
          <c:showSerName val="0"/>
          <c:showPercent val="0"/>
          <c:showBubbleSize val="0"/>
        </c:dLbls>
        <c:marker val="1"/>
        <c:smooth val="0"/>
        <c:axId val="1730289296"/>
        <c:axId val="1"/>
      </c:lineChart>
      <c:catAx>
        <c:axId val="173028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30289296"/>
        <c:crosses val="autoZero"/>
        <c:crossBetween val="between"/>
      </c:valAx>
      <c:spPr>
        <a:solidFill>
          <a:srgbClr val="C0C0C0"/>
        </a:solidFill>
        <a:ln w="12700">
          <a:solidFill>
            <a:srgbClr val="808080"/>
          </a:solidFill>
          <a:prstDash val="solid"/>
        </a:ln>
      </c:spPr>
    </c:plotArea>
    <c:legend>
      <c:legendPos val="r"/>
      <c:layout>
        <c:manualLayout>
          <c:xMode val="edge"/>
          <c:yMode val="edge"/>
          <c:x val="6.3696273634585493E-2"/>
          <c:y val="0.87395468116628694"/>
          <c:w val="0.88113301123983712"/>
          <c:h val="0.1060208018410305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59122459821029"/>
          <c:y val="0.10577346745368002"/>
          <c:w val="0.84046445099727352"/>
          <c:h val="0.79810889078685832"/>
        </c:manualLayout>
      </c:layout>
      <c:barChart>
        <c:barDir val="col"/>
        <c:grouping val="clustered"/>
        <c:varyColors val="0"/>
        <c:ser>
          <c:idx val="0"/>
          <c:order val="0"/>
          <c:tx>
            <c:v>Daily Progress</c:v>
          </c:tx>
          <c:spPr>
            <a:solidFill>
              <a:srgbClr val="9999FF"/>
            </a:solidFill>
            <a:ln w="12700">
              <a:solidFill>
                <a:srgbClr val="000000"/>
              </a:solidFill>
              <a:prstDash val="solid"/>
            </a:ln>
          </c:spPr>
          <c:invertIfNegative val="0"/>
          <c:val>
            <c:numRef>
              <c:f>'Sp1'!$F$10:$AD$10</c:f>
              <c:numCache>
                <c:formatCode>General</c:formatCode>
                <c:ptCount val="25"/>
                <c:pt idx="0">
                  <c:v>36.5</c:v>
                </c:pt>
                <c:pt idx="1">
                  <c:v>32.5</c:v>
                </c:pt>
                <c:pt idx="2">
                  <c:v>32.5</c:v>
                </c:pt>
                <c:pt idx="3">
                  <c:v>30</c:v>
                </c:pt>
                <c:pt idx="4">
                  <c:v>23.5</c:v>
                </c:pt>
                <c:pt idx="5">
                  <c:v>15.5</c:v>
                </c:pt>
                <c:pt idx="6">
                  <c:v>7</c:v>
                </c:pt>
                <c:pt idx="7">
                  <c:v>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B5A-409E-A7BE-250ACCCD44C7}"/>
            </c:ext>
          </c:extLst>
        </c:ser>
        <c:dLbls>
          <c:showLegendKey val="0"/>
          <c:showVal val="0"/>
          <c:showCatName val="0"/>
          <c:showSerName val="0"/>
          <c:showPercent val="0"/>
          <c:showBubbleSize val="0"/>
        </c:dLbls>
        <c:gapWidth val="150"/>
        <c:axId val="1730293040"/>
        <c:axId val="1"/>
      </c:barChart>
      <c:lineChart>
        <c:grouping val="standard"/>
        <c:varyColors val="0"/>
        <c:ser>
          <c:idx val="1"/>
          <c:order val="1"/>
          <c:tx>
            <c:v>Ideal Progress</c:v>
          </c:tx>
          <c:spPr>
            <a:ln w="12700">
              <a:solidFill>
                <a:srgbClr val="969696"/>
              </a:solidFill>
              <a:prstDash val="solid"/>
            </a:ln>
          </c:spPr>
          <c:marker>
            <c:symbol val="none"/>
          </c:marker>
          <c:val>
            <c:numRef>
              <c:f>'Sp1'!$F$11:$AD$11</c:f>
              <c:numCache>
                <c:formatCode>General</c:formatCode>
                <c:ptCount val="25"/>
                <c:pt idx="0">
                  <c:v>36.5</c:v>
                </c:pt>
                <c:pt idx="1">
                  <c:v>32.85</c:v>
                </c:pt>
                <c:pt idx="2">
                  <c:v>29.2</c:v>
                </c:pt>
                <c:pt idx="3">
                  <c:v>25.55</c:v>
                </c:pt>
                <c:pt idx="4">
                  <c:v>21.9</c:v>
                </c:pt>
                <c:pt idx="5">
                  <c:v>18.25</c:v>
                </c:pt>
                <c:pt idx="6">
                  <c:v>14.600000000000001</c:v>
                </c:pt>
                <c:pt idx="7">
                  <c:v>10.95</c:v>
                </c:pt>
                <c:pt idx="8">
                  <c:v>7.3000000000000007</c:v>
                </c:pt>
                <c:pt idx="9">
                  <c:v>3.6499999999999986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1-4B5A-409E-A7BE-250ACCCD44C7}"/>
            </c:ext>
          </c:extLst>
        </c:ser>
        <c:ser>
          <c:idx val="2"/>
          <c:order val="2"/>
          <c:tx>
            <c:v>Current Trend</c:v>
          </c:tx>
          <c:spPr>
            <a:ln w="3175">
              <a:solidFill>
                <a:srgbClr val="0000FF"/>
              </a:solidFill>
              <a:prstDash val="solid"/>
            </a:ln>
          </c:spPr>
          <c:marker>
            <c:symbol val="none"/>
          </c:marker>
          <c:val>
            <c:numRef>
              <c:f>'Sp1'!$F$12:$AD$12</c:f>
              <c:numCache>
                <c:formatCode>General</c:formatCode>
                <c:ptCount val="25"/>
                <c:pt idx="0">
                  <c:v>40.208333333333336</c:v>
                </c:pt>
                <c:pt idx="1">
                  <c:v>35.130952380952387</c:v>
                </c:pt>
                <c:pt idx="2">
                  <c:v>30.053571428571431</c:v>
                </c:pt>
                <c:pt idx="3">
                  <c:v>24.976190476190478</c:v>
                </c:pt>
                <c:pt idx="4">
                  <c:v>19.898809523809526</c:v>
                </c:pt>
                <c:pt idx="5">
                  <c:v>14.821428571428569</c:v>
                </c:pt>
                <c:pt idx="6">
                  <c:v>9.7440476190476204</c:v>
                </c:pt>
                <c:pt idx="7">
                  <c:v>4.6666666666666643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B5A-409E-A7BE-250ACCCD44C7}"/>
            </c:ext>
          </c:extLst>
        </c:ser>
        <c:dLbls>
          <c:showLegendKey val="0"/>
          <c:showVal val="0"/>
          <c:showCatName val="0"/>
          <c:showSerName val="0"/>
          <c:showPercent val="0"/>
          <c:showBubbleSize val="0"/>
        </c:dLbls>
        <c:marker val="1"/>
        <c:smooth val="0"/>
        <c:axId val="1730293040"/>
        <c:axId val="1"/>
      </c:lineChart>
      <c:catAx>
        <c:axId val="1730293040"/>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min val="0"/>
        </c:scaling>
        <c:delete val="0"/>
        <c:axPos val="l"/>
        <c:title>
          <c:tx>
            <c:rich>
              <a:bodyPr/>
              <a:lstStyle/>
              <a:p>
                <a:pPr>
                  <a:defRPr sz="800" b="0" i="0" u="none" strike="noStrike" baseline="0">
                    <a:solidFill>
                      <a:srgbClr val="000000"/>
                    </a:solidFill>
                    <a:latin typeface="Arial"/>
                    <a:ea typeface="Arial"/>
                    <a:cs typeface="Arial"/>
                  </a:defRPr>
                </a:pPr>
                <a:r>
                  <a:rPr lang="en-US"/>
                  <a:t>Work Remaining (h)</a:t>
                </a:r>
              </a:p>
            </c:rich>
          </c:tx>
          <c:layout>
            <c:manualLayout>
              <c:xMode val="edge"/>
              <c:yMode val="edge"/>
              <c:x val="0.12302455329303479"/>
              <c:y val="0.1538520920179095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30293040"/>
        <c:crosses val="autoZero"/>
        <c:crossBetween val="between"/>
      </c:valAx>
      <c:spPr>
        <a:solidFill>
          <a:srgbClr val="C0C0C0"/>
        </a:solidFill>
        <a:ln w="12700">
          <a:solidFill>
            <a:srgbClr val="808080"/>
          </a:solidFill>
          <a:prstDash val="solid"/>
        </a:ln>
      </c:spPr>
    </c:plotArea>
    <c:legend>
      <c:legendPos val="r"/>
      <c:layout>
        <c:manualLayout>
          <c:xMode val="edge"/>
          <c:yMode val="edge"/>
          <c:x val="5.2799419080006762E-3"/>
          <c:y val="0.10294503628222944"/>
          <c:w val="0.11087988869395549"/>
          <c:h val="0.3603087849312953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59122459821029"/>
          <c:y val="0.10577346745368002"/>
          <c:w val="0.84046445099727352"/>
          <c:h val="0.79810889078685832"/>
        </c:manualLayout>
      </c:layout>
      <c:barChart>
        <c:barDir val="col"/>
        <c:grouping val="clustered"/>
        <c:varyColors val="0"/>
        <c:ser>
          <c:idx val="0"/>
          <c:order val="0"/>
          <c:tx>
            <c:v>Daily Progress</c:v>
          </c:tx>
          <c:spPr>
            <a:solidFill>
              <a:srgbClr val="9999FF"/>
            </a:solidFill>
            <a:ln w="12700">
              <a:solidFill>
                <a:srgbClr val="000000"/>
              </a:solidFill>
              <a:prstDash val="solid"/>
            </a:ln>
          </c:spPr>
          <c:invertIfNegative val="0"/>
          <c:val>
            <c:numRef>
              <c:f>'Sp1'!$F$10:$AD$10</c:f>
              <c:numCache>
                <c:formatCode>General</c:formatCode>
                <c:ptCount val="25"/>
                <c:pt idx="0">
                  <c:v>36.5</c:v>
                </c:pt>
                <c:pt idx="1">
                  <c:v>32.5</c:v>
                </c:pt>
                <c:pt idx="2">
                  <c:v>32.5</c:v>
                </c:pt>
                <c:pt idx="3">
                  <c:v>30</c:v>
                </c:pt>
                <c:pt idx="4">
                  <c:v>23.5</c:v>
                </c:pt>
                <c:pt idx="5">
                  <c:v>15.5</c:v>
                </c:pt>
                <c:pt idx="6">
                  <c:v>7</c:v>
                </c:pt>
                <c:pt idx="7">
                  <c:v>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D69B-4E72-8C95-81CAE84EA9AE}"/>
            </c:ext>
          </c:extLst>
        </c:ser>
        <c:dLbls>
          <c:showLegendKey val="0"/>
          <c:showVal val="0"/>
          <c:showCatName val="0"/>
          <c:showSerName val="0"/>
          <c:showPercent val="0"/>
          <c:showBubbleSize val="0"/>
        </c:dLbls>
        <c:gapWidth val="150"/>
        <c:axId val="1728583888"/>
        <c:axId val="1"/>
      </c:barChart>
      <c:lineChart>
        <c:grouping val="standard"/>
        <c:varyColors val="0"/>
        <c:ser>
          <c:idx val="1"/>
          <c:order val="1"/>
          <c:tx>
            <c:v>Ideal Progress</c:v>
          </c:tx>
          <c:spPr>
            <a:ln w="12700">
              <a:solidFill>
                <a:srgbClr val="969696"/>
              </a:solidFill>
              <a:prstDash val="solid"/>
            </a:ln>
          </c:spPr>
          <c:marker>
            <c:symbol val="none"/>
          </c:marker>
          <c:val>
            <c:numRef>
              <c:f>'Sp1'!$F$11:$AD$11</c:f>
              <c:numCache>
                <c:formatCode>General</c:formatCode>
                <c:ptCount val="25"/>
                <c:pt idx="0">
                  <c:v>36.5</c:v>
                </c:pt>
                <c:pt idx="1">
                  <c:v>32.85</c:v>
                </c:pt>
                <c:pt idx="2">
                  <c:v>29.2</c:v>
                </c:pt>
                <c:pt idx="3">
                  <c:v>25.55</c:v>
                </c:pt>
                <c:pt idx="4">
                  <c:v>21.9</c:v>
                </c:pt>
                <c:pt idx="5">
                  <c:v>18.25</c:v>
                </c:pt>
                <c:pt idx="6">
                  <c:v>14.600000000000001</c:v>
                </c:pt>
                <c:pt idx="7">
                  <c:v>10.95</c:v>
                </c:pt>
                <c:pt idx="8">
                  <c:v>7.3000000000000007</c:v>
                </c:pt>
                <c:pt idx="9">
                  <c:v>3.6499999999999986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1-D69B-4E72-8C95-81CAE84EA9AE}"/>
            </c:ext>
          </c:extLst>
        </c:ser>
        <c:ser>
          <c:idx val="2"/>
          <c:order val="2"/>
          <c:tx>
            <c:v>Current Trend</c:v>
          </c:tx>
          <c:spPr>
            <a:ln w="3175">
              <a:solidFill>
                <a:srgbClr val="0000FF"/>
              </a:solidFill>
              <a:prstDash val="solid"/>
            </a:ln>
          </c:spPr>
          <c:marker>
            <c:symbol val="none"/>
          </c:marker>
          <c:val>
            <c:numRef>
              <c:f>'Sp1'!$F$12:$AD$12</c:f>
              <c:numCache>
                <c:formatCode>General</c:formatCode>
                <c:ptCount val="25"/>
                <c:pt idx="0">
                  <c:v>40.208333333333336</c:v>
                </c:pt>
                <c:pt idx="1">
                  <c:v>35.130952380952387</c:v>
                </c:pt>
                <c:pt idx="2">
                  <c:v>30.053571428571431</c:v>
                </c:pt>
                <c:pt idx="3">
                  <c:v>24.976190476190478</c:v>
                </c:pt>
                <c:pt idx="4">
                  <c:v>19.898809523809526</c:v>
                </c:pt>
                <c:pt idx="5">
                  <c:v>14.821428571428569</c:v>
                </c:pt>
                <c:pt idx="6">
                  <c:v>9.7440476190476204</c:v>
                </c:pt>
                <c:pt idx="7">
                  <c:v>4.6666666666666643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D69B-4E72-8C95-81CAE84EA9AE}"/>
            </c:ext>
          </c:extLst>
        </c:ser>
        <c:dLbls>
          <c:showLegendKey val="0"/>
          <c:showVal val="0"/>
          <c:showCatName val="0"/>
          <c:showSerName val="0"/>
          <c:showPercent val="0"/>
          <c:showBubbleSize val="0"/>
        </c:dLbls>
        <c:marker val="1"/>
        <c:smooth val="0"/>
        <c:axId val="1728583888"/>
        <c:axId val="1"/>
      </c:lineChart>
      <c:catAx>
        <c:axId val="1728583888"/>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min val="0"/>
        </c:scaling>
        <c:delete val="0"/>
        <c:axPos val="l"/>
        <c:title>
          <c:tx>
            <c:rich>
              <a:bodyPr/>
              <a:lstStyle/>
              <a:p>
                <a:pPr>
                  <a:defRPr sz="800" b="0" i="0" u="none" strike="noStrike" baseline="0">
                    <a:solidFill>
                      <a:srgbClr val="000000"/>
                    </a:solidFill>
                    <a:latin typeface="Arial"/>
                    <a:ea typeface="Arial"/>
                    <a:cs typeface="Arial"/>
                  </a:defRPr>
                </a:pPr>
                <a:r>
                  <a:rPr lang="en-US"/>
                  <a:t>Work Remaining (h)</a:t>
                </a:r>
              </a:p>
            </c:rich>
          </c:tx>
          <c:layout>
            <c:manualLayout>
              <c:xMode val="edge"/>
              <c:yMode val="edge"/>
              <c:x val="0.12302455329303479"/>
              <c:y val="0.1538520920179095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28583888"/>
        <c:crosses val="autoZero"/>
        <c:crossBetween val="between"/>
      </c:valAx>
      <c:spPr>
        <a:solidFill>
          <a:srgbClr val="C0C0C0"/>
        </a:solidFill>
        <a:ln w="12700">
          <a:solidFill>
            <a:srgbClr val="808080"/>
          </a:solidFill>
          <a:prstDash val="solid"/>
        </a:ln>
      </c:spPr>
    </c:plotArea>
    <c:legend>
      <c:legendPos val="r"/>
      <c:layout>
        <c:manualLayout>
          <c:xMode val="edge"/>
          <c:yMode val="edge"/>
          <c:x val="5.2799419080006762E-3"/>
          <c:y val="0.10294503628222944"/>
          <c:w val="0.11087988869395549"/>
          <c:h val="0.3603087849312953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34837482557326"/>
          <c:y val="0.10577346745368002"/>
          <c:w val="0.83802832215380318"/>
          <c:h val="0.79810889078685832"/>
        </c:manualLayout>
      </c:layout>
      <c:barChart>
        <c:barDir val="col"/>
        <c:grouping val="clustered"/>
        <c:varyColors val="0"/>
        <c:ser>
          <c:idx val="0"/>
          <c:order val="0"/>
          <c:tx>
            <c:v>Daily Progress</c:v>
          </c:tx>
          <c:spPr>
            <a:solidFill>
              <a:srgbClr val="9999FF"/>
            </a:solidFill>
            <a:ln w="12700">
              <a:solidFill>
                <a:srgbClr val="000000"/>
              </a:solidFill>
              <a:prstDash val="solid"/>
            </a:ln>
          </c:spPr>
          <c:invertIfNegative val="0"/>
          <c:val>
            <c:numRef>
              <c:f>'Sprint Sheet Template'!$F$10:$AD$10</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ACA7-4720-96EE-9CBD0903EDA7}"/>
            </c:ext>
          </c:extLst>
        </c:ser>
        <c:dLbls>
          <c:showLegendKey val="0"/>
          <c:showVal val="0"/>
          <c:showCatName val="0"/>
          <c:showSerName val="0"/>
          <c:showPercent val="0"/>
          <c:showBubbleSize val="0"/>
        </c:dLbls>
        <c:gapWidth val="150"/>
        <c:axId val="1728583056"/>
        <c:axId val="1"/>
      </c:barChart>
      <c:lineChart>
        <c:grouping val="standard"/>
        <c:varyColors val="0"/>
        <c:ser>
          <c:idx val="1"/>
          <c:order val="1"/>
          <c:tx>
            <c:v>Ideal Progress</c:v>
          </c:tx>
          <c:spPr>
            <a:ln w="12700">
              <a:solidFill>
                <a:srgbClr val="969696"/>
              </a:solidFill>
              <a:prstDash val="solid"/>
            </a:ln>
          </c:spPr>
          <c:marker>
            <c:symbol val="none"/>
          </c:marker>
          <c:val>
            <c:numRef>
              <c:f>'Sprint Sheet Template'!$F$11:$AD$11</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1-ACA7-4720-96EE-9CBD0903EDA7}"/>
            </c:ext>
          </c:extLst>
        </c:ser>
        <c:ser>
          <c:idx val="2"/>
          <c:order val="2"/>
          <c:tx>
            <c:v>Current Trend</c:v>
          </c:tx>
          <c:spPr>
            <a:ln w="3175">
              <a:solidFill>
                <a:srgbClr val="0000FF"/>
              </a:solidFill>
              <a:prstDash val="solid"/>
            </a:ln>
          </c:spPr>
          <c:marker>
            <c:symbol val="none"/>
          </c:marker>
          <c:val>
            <c:numRef>
              <c:f>'Sprint Sheet Template'!$F$12:$AD$12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ACA7-4720-96EE-9CBD0903EDA7}"/>
            </c:ext>
          </c:extLst>
        </c:ser>
        <c:dLbls>
          <c:showLegendKey val="0"/>
          <c:showVal val="0"/>
          <c:showCatName val="0"/>
          <c:showSerName val="0"/>
          <c:showPercent val="0"/>
          <c:showBubbleSize val="0"/>
        </c:dLbls>
        <c:marker val="1"/>
        <c:smooth val="0"/>
        <c:axId val="1728583056"/>
        <c:axId val="1"/>
      </c:lineChart>
      <c:catAx>
        <c:axId val="1728583056"/>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min val="0"/>
        </c:scaling>
        <c:delete val="0"/>
        <c:axPos val="l"/>
        <c:title>
          <c:tx>
            <c:rich>
              <a:bodyPr/>
              <a:lstStyle/>
              <a:p>
                <a:pPr>
                  <a:defRPr sz="800" b="0" i="0" u="none" strike="noStrike" baseline="0">
                    <a:solidFill>
                      <a:srgbClr val="000000"/>
                    </a:solidFill>
                    <a:latin typeface="Arial"/>
                    <a:ea typeface="Arial"/>
                    <a:cs typeface="Arial"/>
                  </a:defRPr>
                </a:pPr>
                <a:r>
                  <a:rPr lang="en-US"/>
                  <a:t>Work Remaining (h)</a:t>
                </a:r>
              </a:p>
            </c:rich>
          </c:tx>
          <c:layout>
            <c:manualLayout>
              <c:xMode val="edge"/>
              <c:yMode val="edge"/>
              <c:x val="0.12302453208148136"/>
              <c:y val="0.1538520920179095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28583056"/>
        <c:crosses val="autoZero"/>
        <c:crossBetween val="between"/>
      </c:valAx>
      <c:spPr>
        <a:solidFill>
          <a:srgbClr val="C0C0C0"/>
        </a:solidFill>
        <a:ln w="12700">
          <a:solidFill>
            <a:srgbClr val="808080"/>
          </a:solidFill>
          <a:prstDash val="solid"/>
        </a:ln>
      </c:spPr>
    </c:plotArea>
    <c:legend>
      <c:legendPos val="r"/>
      <c:layout>
        <c:manualLayout>
          <c:xMode val="edge"/>
          <c:yMode val="edge"/>
          <c:x val="5.2855232419414802E-3"/>
          <c:y val="0.10294503628222944"/>
          <c:w val="0.1109970978786214"/>
          <c:h val="0.3603087849312953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485775</xdr:colOff>
          <xdr:row>0</xdr:row>
          <xdr:rowOff>104775</xdr:rowOff>
        </xdr:from>
        <xdr:to>
          <xdr:col>5</xdr:col>
          <xdr:colOff>581025</xdr:colOff>
          <xdr:row>1</xdr:row>
          <xdr:rowOff>85725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91B19637-ACD3-2E30-2E0D-A3DF3E3B31B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Product Backlog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171450</xdr:colOff>
      <xdr:row>1</xdr:row>
      <xdr:rowOff>47625</xdr:rowOff>
    </xdr:from>
    <xdr:to>
      <xdr:col>24</xdr:col>
      <xdr:colOff>523875</xdr:colOff>
      <xdr:row>19</xdr:row>
      <xdr:rowOff>133350</xdr:rowOff>
    </xdr:to>
    <xdr:graphicFrame macro="">
      <xdr:nvGraphicFramePr>
        <xdr:cNvPr id="18702" name="Chart 2">
          <a:extLst>
            <a:ext uri="{FF2B5EF4-FFF2-40B4-BE49-F238E27FC236}">
              <a16:creationId xmlns:a16="http://schemas.microsoft.com/office/drawing/2014/main" id="{BB9236CA-B4D7-5C1F-FAD7-811F5C0374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180975</xdr:colOff>
      <xdr:row>20</xdr:row>
      <xdr:rowOff>47625</xdr:rowOff>
    </xdr:from>
    <xdr:to>
      <xdr:col>24</xdr:col>
      <xdr:colOff>533400</xdr:colOff>
      <xdr:row>39</xdr:row>
      <xdr:rowOff>123825</xdr:rowOff>
    </xdr:to>
    <xdr:graphicFrame macro="">
      <xdr:nvGraphicFramePr>
        <xdr:cNvPr id="18703" name="Chart 17">
          <a:extLst>
            <a:ext uri="{FF2B5EF4-FFF2-40B4-BE49-F238E27FC236}">
              <a16:creationId xmlns:a16="http://schemas.microsoft.com/office/drawing/2014/main" id="{A0D2C4E7-DAD4-F656-DA71-76E03957C728}"/>
            </a:ext>
            <a:ext uri="{147F2762-F138-4A5C-976F-8EAC2B608ADB}">
              <a16:predDERef xmlns:a16="http://schemas.microsoft.com/office/drawing/2014/main" pred="{BB9236CA-B4D7-5C1F-FAD7-811F5C0374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485775</xdr:colOff>
      <xdr:row>0</xdr:row>
      <xdr:rowOff>38100</xdr:rowOff>
    </xdr:from>
    <xdr:to>
      <xdr:col>30</xdr:col>
      <xdr:colOff>57150</xdr:colOff>
      <xdr:row>7</xdr:row>
      <xdr:rowOff>133350</xdr:rowOff>
    </xdr:to>
    <xdr:graphicFrame macro="">
      <xdr:nvGraphicFramePr>
        <xdr:cNvPr id="17545" name="Chart 2">
          <a:extLst>
            <a:ext uri="{FF2B5EF4-FFF2-40B4-BE49-F238E27FC236}">
              <a16:creationId xmlns:a16="http://schemas.microsoft.com/office/drawing/2014/main" id="{14E7010B-4A56-15B9-115A-BD29031CA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228600</xdr:colOff>
          <xdr:row>5</xdr:row>
          <xdr:rowOff>85725</xdr:rowOff>
        </xdr:from>
        <xdr:to>
          <xdr:col>0</xdr:col>
          <xdr:colOff>2009775</xdr:colOff>
          <xdr:row>7</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ECDF1A05-969C-8AD5-BD7E-635467618A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Sprint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2247900</xdr:colOff>
          <xdr:row>5</xdr:row>
          <xdr:rowOff>85725</xdr:rowOff>
        </xdr:from>
        <xdr:to>
          <xdr:col>2</xdr:col>
          <xdr:colOff>304800</xdr:colOff>
          <xdr:row>7</xdr:row>
          <xdr:rowOff>28575</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68BA86DB-8916-6CE9-0B31-FFD9B947AB4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Task Slips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485775</xdr:colOff>
      <xdr:row>0</xdr:row>
      <xdr:rowOff>38100</xdr:rowOff>
    </xdr:from>
    <xdr:to>
      <xdr:col>30</xdr:col>
      <xdr:colOff>57150</xdr:colOff>
      <xdr:row>7</xdr:row>
      <xdr:rowOff>133350</xdr:rowOff>
    </xdr:to>
    <xdr:graphicFrame macro="">
      <xdr:nvGraphicFramePr>
        <xdr:cNvPr id="482323" name="Chart 2">
          <a:extLst>
            <a:ext uri="{FF2B5EF4-FFF2-40B4-BE49-F238E27FC236}">
              <a16:creationId xmlns:a16="http://schemas.microsoft.com/office/drawing/2014/main" id="{CFD5C0C8-EFC2-9177-A114-8BD5EC3C3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228600</xdr:colOff>
          <xdr:row>5</xdr:row>
          <xdr:rowOff>85725</xdr:rowOff>
        </xdr:from>
        <xdr:to>
          <xdr:col>1</xdr:col>
          <xdr:colOff>2009775</xdr:colOff>
          <xdr:row>7</xdr:row>
          <xdr:rowOff>28575</xdr:rowOff>
        </xdr:to>
        <xdr:sp macro="" textlink="">
          <xdr:nvSpPr>
            <xdr:cNvPr id="482305" name="Button 1" hidden="1">
              <a:extLst>
                <a:ext uri="{63B3BB69-23CF-44E3-9099-C40C66FF867C}">
                  <a14:compatExt spid="_x0000_s482305"/>
                </a:ext>
                <a:ext uri="{FF2B5EF4-FFF2-40B4-BE49-F238E27FC236}">
                  <a16:creationId xmlns:a16="http://schemas.microsoft.com/office/drawing/2014/main" id="{94354341-B187-95D5-99B1-E74B5F5C2E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Sprint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2247900</xdr:colOff>
          <xdr:row>5</xdr:row>
          <xdr:rowOff>85725</xdr:rowOff>
        </xdr:from>
        <xdr:to>
          <xdr:col>2</xdr:col>
          <xdr:colOff>304800</xdr:colOff>
          <xdr:row>7</xdr:row>
          <xdr:rowOff>28575</xdr:rowOff>
        </xdr:to>
        <xdr:sp macro="" textlink="">
          <xdr:nvSpPr>
            <xdr:cNvPr id="482306" name="Button 2" hidden="1">
              <a:extLst>
                <a:ext uri="{63B3BB69-23CF-44E3-9099-C40C66FF867C}">
                  <a14:compatExt spid="_x0000_s482306"/>
                </a:ext>
                <a:ext uri="{FF2B5EF4-FFF2-40B4-BE49-F238E27FC236}">
                  <a16:creationId xmlns:a16="http://schemas.microsoft.com/office/drawing/2014/main" id="{05919C8D-250F-E8A9-A713-DD6472B7F3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Task Slips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485775</xdr:colOff>
      <xdr:row>0</xdr:row>
      <xdr:rowOff>38100</xdr:rowOff>
    </xdr:from>
    <xdr:to>
      <xdr:col>30</xdr:col>
      <xdr:colOff>47625</xdr:colOff>
      <xdr:row>7</xdr:row>
      <xdr:rowOff>133350</xdr:rowOff>
    </xdr:to>
    <xdr:graphicFrame macro="">
      <xdr:nvGraphicFramePr>
        <xdr:cNvPr id="14477" name="Chart 2">
          <a:extLst>
            <a:ext uri="{FF2B5EF4-FFF2-40B4-BE49-F238E27FC236}">
              <a16:creationId xmlns:a16="http://schemas.microsoft.com/office/drawing/2014/main" id="{2E7E913E-21F3-C497-5D7B-C7C99A12FD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228600</xdr:colOff>
          <xdr:row>5</xdr:row>
          <xdr:rowOff>85725</xdr:rowOff>
        </xdr:from>
        <xdr:to>
          <xdr:col>0</xdr:col>
          <xdr:colOff>1714500</xdr:colOff>
          <xdr:row>7</xdr:row>
          <xdr:rowOff>28575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81DB779C-A49A-8B10-D3C8-B8FDE5FA5D7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Sprint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2000250</xdr:colOff>
          <xdr:row>5</xdr:row>
          <xdr:rowOff>85725</xdr:rowOff>
        </xdr:from>
        <xdr:to>
          <xdr:col>2</xdr:col>
          <xdr:colOff>219075</xdr:colOff>
          <xdr:row>7</xdr:row>
          <xdr:rowOff>28575</xdr:rowOff>
        </xdr:to>
        <xdr:sp macro="" textlink="">
          <xdr:nvSpPr>
            <xdr:cNvPr id="14350" name="Button 14" hidden="1">
              <a:extLst>
                <a:ext uri="{63B3BB69-23CF-44E3-9099-C40C66FF867C}">
                  <a14:compatExt spid="_x0000_s14350"/>
                </a:ext>
                <a:ext uri="{FF2B5EF4-FFF2-40B4-BE49-F238E27FC236}">
                  <a16:creationId xmlns:a16="http://schemas.microsoft.com/office/drawing/2014/main" id="{1A46F67B-6751-D955-D64E-E44537C72F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Task Slips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ing/waccache/9b712570-301f-4be7-99c5-612019da03af/ADS_Grupo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ease Plan"/>
      <sheetName val="Product Backlog"/>
      <sheetName val="PB Burndown"/>
      <sheetName val="Sp1"/>
      <sheetName val="Daily Meetings Sp1"/>
      <sheetName val="Sprint Sheet Template"/>
      <sheetName val="Task Slips"/>
      <sheetName val="Sprint Evaluation"/>
      <sheetName val="Retrospective"/>
    </sheetNames>
    <sheetDataSet>
      <sheetData sheetId="0" refreshError="1"/>
      <sheetData sheetId="1" refreshError="1"/>
      <sheetData sheetId="2" refreshError="1"/>
      <sheetData sheetId="3">
        <row r="15">
          <cell r="C15" t="str">
            <v>Jordi</v>
          </cell>
        </row>
        <row r="16">
          <cell r="C16" t="str">
            <v>Jordi</v>
          </cell>
        </row>
        <row r="17">
          <cell r="C17" t="str">
            <v>Marta</v>
          </cell>
        </row>
        <row r="18">
          <cell r="C18" t="str">
            <v>Marta</v>
          </cell>
        </row>
        <row r="19">
          <cell r="C19" t="str">
            <v>Marta</v>
          </cell>
        </row>
        <row r="20">
          <cell r="C20" t="str">
            <v>Sara</v>
          </cell>
        </row>
        <row r="21">
          <cell r="C21" t="str">
            <v>Sara</v>
          </cell>
        </row>
        <row r="22">
          <cell r="C22" t="str">
            <v>Sara</v>
          </cell>
        </row>
        <row r="23">
          <cell r="C23" t="str">
            <v>Sara</v>
          </cell>
        </row>
        <row r="24">
          <cell r="C24" t="str">
            <v>Gerard</v>
          </cell>
        </row>
        <row r="25">
          <cell r="C25" t="str">
            <v>Gerard</v>
          </cell>
        </row>
        <row r="26">
          <cell r="C26" t="str">
            <v>Gerard</v>
          </cell>
        </row>
        <row r="27">
          <cell r="C27" t="str">
            <v>Gerard</v>
          </cell>
        </row>
        <row r="28">
          <cell r="C28" t="str">
            <v>Sergi</v>
          </cell>
        </row>
        <row r="29">
          <cell r="C29" t="str">
            <v>Sergi</v>
          </cell>
        </row>
        <row r="30">
          <cell r="C30" t="str">
            <v>Sara</v>
          </cell>
        </row>
        <row r="31">
          <cell r="C31" t="str">
            <v>Sara</v>
          </cell>
        </row>
        <row r="32">
          <cell r="C32" t="str">
            <v>Sara</v>
          </cell>
        </row>
        <row r="33">
          <cell r="C33" t="str">
            <v>Sara</v>
          </cell>
        </row>
        <row r="34">
          <cell r="C34" t="str">
            <v>Gerard</v>
          </cell>
        </row>
      </sheetData>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5.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1"/>
  <sheetViews>
    <sheetView topLeftCell="A9" workbookViewId="0">
      <selection activeCell="E16" sqref="E16"/>
    </sheetView>
  </sheetViews>
  <sheetFormatPr defaultColWidth="8.85546875" defaultRowHeight="12.75"/>
  <cols>
    <col min="1" max="1" width="7.85546875" customWidth="1"/>
    <col min="2" max="2" width="10.42578125" customWidth="1"/>
    <col min="3" max="3" width="9.42578125" customWidth="1"/>
    <col min="4" max="5" width="10.7109375" customWidth="1"/>
    <col min="6" max="6" width="8.85546875" customWidth="1"/>
    <col min="7" max="7" width="13.7109375" style="2" customWidth="1"/>
    <col min="8" max="8" width="59.140625" customWidth="1"/>
    <col min="9" max="9" width="10.7109375" customWidth="1"/>
  </cols>
  <sheetData>
    <row r="1" spans="1:10" ht="18">
      <c r="A1" s="13" t="s">
        <v>0</v>
      </c>
    </row>
    <row r="3" spans="1:10">
      <c r="A3" s="7" t="s">
        <v>1</v>
      </c>
      <c r="B3" s="38" t="s">
        <v>2</v>
      </c>
      <c r="C3" s="39" t="s">
        <v>3</v>
      </c>
      <c r="D3" s="39" t="s">
        <v>4</v>
      </c>
      <c r="E3" s="38" t="s">
        <v>5</v>
      </c>
      <c r="F3" s="8" t="s">
        <v>6</v>
      </c>
      <c r="G3" s="38" t="s">
        <v>7</v>
      </c>
      <c r="H3" s="9" t="s">
        <v>8</v>
      </c>
      <c r="I3" s="1"/>
      <c r="J3" s="1"/>
    </row>
    <row r="4" spans="1:10">
      <c r="A4" s="10">
        <v>1</v>
      </c>
      <c r="B4" s="35">
        <f>IF(OR(B16="",A4=""),"",B16)</f>
        <v>44875</v>
      </c>
      <c r="C4" s="21">
        <f t="shared" ref="C4:C10" si="0">IF(A4="","",SUMIF(I$16:I$30,A4,C$16:C$30))</f>
        <v>14</v>
      </c>
      <c r="D4" s="35">
        <f>IF(OR(B4="",C4=""),"",B4+C4-1)</f>
        <v>44888</v>
      </c>
      <c r="E4" s="18">
        <f>IF(A4="","",SUMIF(I$16:I$30,'Release Plan'!A4,E$16:E$30))</f>
        <v>20</v>
      </c>
      <c r="G4" s="40"/>
      <c r="H4" s="4"/>
    </row>
    <row r="5" spans="1:10">
      <c r="A5" s="11">
        <v>2</v>
      </c>
      <c r="B5" s="32">
        <f>IF(A5="","",B4+C4)</f>
        <v>44889</v>
      </c>
      <c r="C5" s="18">
        <f t="shared" si="0"/>
        <v>14</v>
      </c>
      <c r="D5" s="32">
        <f t="shared" ref="D5:D10" si="1">IF(OR(B5="",C5=""),"",B5+C5-1)</f>
        <v>44902</v>
      </c>
      <c r="E5" s="18">
        <f>IF(A5="","",SUMIF(I$16:I$30,'Release Plan'!A5,E$16:E$30))</f>
        <v>33</v>
      </c>
      <c r="G5" s="41"/>
      <c r="H5" s="5"/>
    </row>
    <row r="6" spans="1:10">
      <c r="A6" s="11">
        <v>3</v>
      </c>
      <c r="B6" s="32">
        <f>IF(A6="","",B5+C5)</f>
        <v>44903</v>
      </c>
      <c r="C6" s="18">
        <v>14</v>
      </c>
      <c r="D6" s="32">
        <f t="shared" si="1"/>
        <v>44916</v>
      </c>
      <c r="E6" s="18">
        <f>IF(A6="","",SUMIF(I$16:I$30,'Release Plan'!A6,E$16:E$30))</f>
        <v>10</v>
      </c>
      <c r="G6" s="41"/>
      <c r="H6" s="5"/>
    </row>
    <row r="7" spans="1:10">
      <c r="A7" s="11"/>
      <c r="B7" s="32"/>
      <c r="C7" s="18" t="str">
        <f t="shared" si="0"/>
        <v/>
      </c>
      <c r="D7" s="32" t="str">
        <f t="shared" si="1"/>
        <v/>
      </c>
      <c r="E7" s="18" t="str">
        <f>IF(A7="","",SUMIF(I$16:I$30,'Release Plan'!A7,E$16:E$30))</f>
        <v/>
      </c>
      <c r="G7" s="41"/>
      <c r="H7" s="5"/>
    </row>
    <row r="8" spans="1:10">
      <c r="A8" s="11"/>
      <c r="B8" s="32"/>
      <c r="C8" s="18" t="str">
        <f t="shared" si="0"/>
        <v/>
      </c>
      <c r="D8" s="32" t="str">
        <f t="shared" si="1"/>
        <v/>
      </c>
      <c r="E8" s="18" t="str">
        <f>IF(A8="","",SUMIF(I$16:I$30,'Release Plan'!A8,E$16:E$30))</f>
        <v/>
      </c>
      <c r="G8" s="41"/>
      <c r="H8" s="5"/>
    </row>
    <row r="9" spans="1:10">
      <c r="A9" s="11"/>
      <c r="B9" s="32"/>
      <c r="C9" s="18" t="str">
        <f t="shared" si="0"/>
        <v/>
      </c>
      <c r="D9" s="32" t="str">
        <f t="shared" si="1"/>
        <v/>
      </c>
      <c r="E9" s="18" t="str">
        <f>IF(A9="","",SUMIF(I$16:I$30,'Release Plan'!A9,E$16:E$30))</f>
        <v/>
      </c>
      <c r="G9" s="41"/>
      <c r="H9" s="5"/>
    </row>
    <row r="10" spans="1:10">
      <c r="A10" s="12"/>
      <c r="B10" s="33"/>
      <c r="C10" s="34" t="str">
        <f t="shared" si="0"/>
        <v/>
      </c>
      <c r="D10" s="33" t="str">
        <f t="shared" si="1"/>
        <v/>
      </c>
      <c r="E10" s="34" t="str">
        <f>IF(A10="","",SUMIF(I$16:I$30,'Release Plan'!A10,E$16:E$30))</f>
        <v/>
      </c>
      <c r="F10" s="3"/>
      <c r="G10" s="42"/>
      <c r="H10" s="6"/>
    </row>
    <row r="11" spans="1:10">
      <c r="A11" s="29" t="s">
        <v>9</v>
      </c>
    </row>
    <row r="13" spans="1:10" ht="18">
      <c r="A13" s="13" t="s">
        <v>10</v>
      </c>
    </row>
    <row r="15" spans="1:10">
      <c r="A15" s="7" t="s">
        <v>11</v>
      </c>
      <c r="B15" s="38" t="s">
        <v>2</v>
      </c>
      <c r="C15" s="38" t="s">
        <v>3</v>
      </c>
      <c r="D15" s="38" t="s">
        <v>4</v>
      </c>
      <c r="E15" s="38" t="s">
        <v>5</v>
      </c>
      <c r="F15" s="8" t="s">
        <v>6</v>
      </c>
      <c r="G15" s="38" t="s">
        <v>7</v>
      </c>
      <c r="H15" s="63" t="s">
        <v>8</v>
      </c>
      <c r="I15" s="44" t="s">
        <v>12</v>
      </c>
      <c r="J15" s="1"/>
    </row>
    <row r="16" spans="1:10">
      <c r="A16" s="18">
        <v>1</v>
      </c>
      <c r="B16" s="67">
        <v>44875</v>
      </c>
      <c r="C16" s="2">
        <v>14</v>
      </c>
      <c r="D16" s="22">
        <f t="shared" ref="D16:D30" si="2">IF(AND(B16&lt;&gt;"",C16&lt;&gt;""),B16+C16-1,"")</f>
        <v>44888</v>
      </c>
      <c r="E16" s="18">
        <f>IF(A16="","",SUMIF('Product Backlog'!E$5:E$102,'Release Plan'!A16,'Product Backlog'!D$5:D$102))</f>
        <v>20</v>
      </c>
      <c r="F16" t="s">
        <v>13</v>
      </c>
      <c r="G16" s="67">
        <v>44888</v>
      </c>
      <c r="H16" s="100" t="s">
        <v>14</v>
      </c>
      <c r="I16" s="62">
        <v>1</v>
      </c>
    </row>
    <row r="17" spans="1:9">
      <c r="A17" s="18">
        <v>2</v>
      </c>
      <c r="B17" s="22">
        <f>IF(AND(B16&lt;&gt;"",C16&lt;&gt;"",C17&lt;&gt;""),B16+C16,"")</f>
        <v>44889</v>
      </c>
      <c r="C17" s="2">
        <v>14</v>
      </c>
      <c r="D17" s="22">
        <f>IF(AND(B17&lt;&gt;"",C17&lt;&gt;""),B17+C17-1,"")</f>
        <v>44902</v>
      </c>
      <c r="E17" s="18">
        <f>IF(A17="","",SUMIF('Product Backlog'!E$5:E$102,'Release Plan'!A17,'Product Backlog'!D$5:D$102))</f>
        <v>33</v>
      </c>
      <c r="F17" t="s">
        <v>15</v>
      </c>
      <c r="H17" s="101" t="s">
        <v>16</v>
      </c>
      <c r="I17" s="30">
        <v>2</v>
      </c>
    </row>
    <row r="18" spans="1:9">
      <c r="A18" s="18">
        <v>3</v>
      </c>
      <c r="B18" s="22">
        <f>IF(AND(B17&lt;&gt;"",C17&lt;&gt;"",C18&lt;&gt;""),B17+C17,"")</f>
        <v>44903</v>
      </c>
      <c r="C18" s="2">
        <v>14</v>
      </c>
      <c r="D18" s="22">
        <f>IF(AND(B18&lt;&gt;"",C18&lt;&gt;""),B18+C18-1,"")</f>
        <v>44916</v>
      </c>
      <c r="E18" s="18">
        <f>IF(A18="","",SUMIF('Product Backlog'!E$5:E$102,'Release Plan'!A18,'Product Backlog'!D$5:D$102))</f>
        <v>10</v>
      </c>
      <c r="F18" t="str">
        <f>IF(AND(OR(F17="Planned",F17="Ongoing"),C18&lt;&gt;""),"Planned","Unplanned")</f>
        <v>Planned</v>
      </c>
      <c r="H18" s="23" t="s">
        <v>16</v>
      </c>
      <c r="I18" s="30">
        <v>3</v>
      </c>
    </row>
    <row r="19" spans="1:9">
      <c r="A19" s="18"/>
      <c r="B19" s="22" t="str">
        <f>IF(AND(B18&lt;&gt;"",C18&lt;&gt;"",C19&lt;&gt;""),B18+C18,"")</f>
        <v/>
      </c>
      <c r="C19" s="2"/>
      <c r="D19" s="22" t="str">
        <f>IF(AND(B19&lt;&gt;"",C19&lt;&gt;""),B19+C19-1,"")</f>
        <v/>
      </c>
      <c r="E19" s="18" t="str">
        <f>IF(A19="","",SUMIF('Product Backlog'!E$5:E$102,'Release Plan'!A19,'Product Backlog'!D$5:D$102))</f>
        <v/>
      </c>
      <c r="F19" t="str">
        <f>IF(AND(OR(F18="Planned",F18="Ongoing"),C19&lt;&gt;""),"Planned","Unplanned")</f>
        <v>Unplanned</v>
      </c>
      <c r="H19" s="23"/>
      <c r="I19" s="30"/>
    </row>
    <row r="20" spans="1:9">
      <c r="A20" s="18"/>
      <c r="B20" s="22" t="str">
        <f>IF(AND(B19&lt;&gt;"",C19&lt;&gt;"",C20&lt;&gt;""),B19+C19,"")</f>
        <v/>
      </c>
      <c r="C20" s="2"/>
      <c r="D20" s="22" t="str">
        <f>IF(AND(B20&lt;&gt;"",C20&lt;&gt;""),B20+C20-1,"")</f>
        <v/>
      </c>
      <c r="E20" s="18" t="str">
        <f>IF(A20="","",SUMIF('Product Backlog'!E$5:E$102,'Release Plan'!A20,'Product Backlog'!D$5:D$102))</f>
        <v/>
      </c>
      <c r="F20" t="str">
        <f>IF(AND(OR(F19="Planned",F19="Ongoing"),C20&lt;&gt;""),"Planned","Unplanned")</f>
        <v>Unplanned</v>
      </c>
      <c r="H20" s="23"/>
      <c r="I20" s="30"/>
    </row>
    <row r="21" spans="1:9">
      <c r="A21" s="18"/>
      <c r="B21" s="22" t="str">
        <f>IF(AND(B20&lt;&gt;"",C20&lt;&gt;"",C21&lt;&gt;""),B20+C20,"")</f>
        <v/>
      </c>
      <c r="C21" s="2"/>
      <c r="D21" s="22" t="str">
        <f>IF(AND(B21&lt;&gt;"",C21&lt;&gt;""),B21+C21-1,"")</f>
        <v/>
      </c>
      <c r="E21" s="18" t="str">
        <f>IF(A21="","",SUMIF('Product Backlog'!E$5:E$102,'Release Plan'!A21,'Product Backlog'!D$5:D$102))</f>
        <v/>
      </c>
      <c r="F21" t="str">
        <f>IF(AND(OR(F20="Planned",F20="Ongoing"),C21&lt;&gt;""),"Planned","Unplanned")</f>
        <v>Unplanned</v>
      </c>
      <c r="H21" s="23"/>
      <c r="I21" s="30"/>
    </row>
    <row r="22" spans="1:9">
      <c r="A22" s="18" t="str">
        <f t="shared" ref="A22:A30" si="3">IF(AND(B22&lt;&gt;"",C22&lt;&gt;""),A21+1,"")</f>
        <v/>
      </c>
      <c r="B22" s="22" t="str">
        <f t="shared" ref="B22:B30" si="4">IF(AND(B21&lt;&gt;"",C21&lt;&gt;"",C22&lt;&gt;""),B21+C21,"")</f>
        <v/>
      </c>
      <c r="C22" s="2"/>
      <c r="D22" s="22" t="str">
        <f t="shared" si="2"/>
        <v/>
      </c>
      <c r="E22" s="18" t="str">
        <f>IF(A22="","",SUMIF('Product Backlog'!E$6:E$102,'Release Plan'!A22,'Product Backlog'!D$6:D$102))</f>
        <v/>
      </c>
      <c r="F22" t="str">
        <f t="shared" ref="F22:F30" si="5">IF(AND(OR(F21="Planned",F21="Ongoing"),C22&lt;&gt;""),"Planned","Unplanned")</f>
        <v>Unplanned</v>
      </c>
      <c r="H22" s="23"/>
      <c r="I22" s="30"/>
    </row>
    <row r="23" spans="1:9">
      <c r="A23" s="18" t="str">
        <f t="shared" si="3"/>
        <v/>
      </c>
      <c r="B23" s="22" t="str">
        <f t="shared" si="4"/>
        <v/>
      </c>
      <c r="C23" s="2"/>
      <c r="D23" s="22" t="str">
        <f t="shared" si="2"/>
        <v/>
      </c>
      <c r="E23" s="18" t="str">
        <f>IF(A23="","",SUMIF('Product Backlog'!E$6:E$102,'Release Plan'!A23,'Product Backlog'!D$6:D$102))</f>
        <v/>
      </c>
      <c r="F23" t="str">
        <f t="shared" si="5"/>
        <v>Unplanned</v>
      </c>
      <c r="H23" s="23"/>
      <c r="I23" s="30"/>
    </row>
    <row r="24" spans="1:9">
      <c r="A24" s="18" t="str">
        <f t="shared" si="3"/>
        <v/>
      </c>
      <c r="B24" s="22" t="str">
        <f t="shared" si="4"/>
        <v/>
      </c>
      <c r="C24" s="2"/>
      <c r="D24" s="22" t="str">
        <f t="shared" si="2"/>
        <v/>
      </c>
      <c r="E24" s="18" t="str">
        <f>IF(A24="","",SUMIF('Product Backlog'!E$6:E$102,'Release Plan'!A24,'Product Backlog'!D$6:D$102))</f>
        <v/>
      </c>
      <c r="F24" t="str">
        <f t="shared" si="5"/>
        <v>Unplanned</v>
      </c>
      <c r="H24" s="23"/>
      <c r="I24" s="30"/>
    </row>
    <row r="25" spans="1:9">
      <c r="A25" s="18" t="str">
        <f t="shared" si="3"/>
        <v/>
      </c>
      <c r="B25" s="22" t="str">
        <f t="shared" si="4"/>
        <v/>
      </c>
      <c r="C25" s="2"/>
      <c r="D25" s="22" t="str">
        <f t="shared" si="2"/>
        <v/>
      </c>
      <c r="E25" s="18" t="str">
        <f>IF(A25="","",SUMIF('Product Backlog'!E$6:E$102,'Release Plan'!A25,'Product Backlog'!D$6:D$102))</f>
        <v/>
      </c>
      <c r="F25" t="str">
        <f t="shared" si="5"/>
        <v>Unplanned</v>
      </c>
      <c r="H25" s="23"/>
      <c r="I25" s="30"/>
    </row>
    <row r="26" spans="1:9">
      <c r="A26" s="18" t="str">
        <f t="shared" si="3"/>
        <v/>
      </c>
      <c r="B26" s="22" t="str">
        <f t="shared" si="4"/>
        <v/>
      </c>
      <c r="C26" s="2"/>
      <c r="D26" s="22" t="str">
        <f t="shared" si="2"/>
        <v/>
      </c>
      <c r="E26" s="18" t="str">
        <f>IF(A26="","",SUMIF('Product Backlog'!E$6:E$102,'Release Plan'!A26,'Product Backlog'!D$6:D$102))</f>
        <v/>
      </c>
      <c r="F26" t="str">
        <f t="shared" si="5"/>
        <v>Unplanned</v>
      </c>
      <c r="H26" s="23"/>
      <c r="I26" s="30"/>
    </row>
    <row r="27" spans="1:9">
      <c r="A27" s="18" t="str">
        <f t="shared" si="3"/>
        <v/>
      </c>
      <c r="B27" s="22" t="str">
        <f t="shared" si="4"/>
        <v/>
      </c>
      <c r="C27" s="2"/>
      <c r="D27" s="22" t="str">
        <f t="shared" si="2"/>
        <v/>
      </c>
      <c r="E27" s="18" t="str">
        <f>IF(A27="","",SUMIF('Product Backlog'!E$6:E$102,'Release Plan'!A27,'Product Backlog'!D$6:D$102))</f>
        <v/>
      </c>
      <c r="F27" t="str">
        <f t="shared" si="5"/>
        <v>Unplanned</v>
      </c>
      <c r="H27" s="23"/>
      <c r="I27" s="30"/>
    </row>
    <row r="28" spans="1:9">
      <c r="A28" s="18" t="str">
        <f t="shared" si="3"/>
        <v/>
      </c>
      <c r="B28" s="22" t="str">
        <f t="shared" si="4"/>
        <v/>
      </c>
      <c r="C28" s="2"/>
      <c r="D28" s="22" t="str">
        <f t="shared" si="2"/>
        <v/>
      </c>
      <c r="E28" s="18" t="str">
        <f>IF(A28="","",SUMIF('Product Backlog'!E$6:E$102,'Release Plan'!A28,'Product Backlog'!D$6:D$102))</f>
        <v/>
      </c>
      <c r="F28" t="str">
        <f t="shared" si="5"/>
        <v>Unplanned</v>
      </c>
      <c r="H28" s="23"/>
      <c r="I28" s="30"/>
    </row>
    <row r="29" spans="1:9">
      <c r="A29" s="18" t="str">
        <f t="shared" si="3"/>
        <v/>
      </c>
      <c r="B29" s="22" t="str">
        <f t="shared" si="4"/>
        <v/>
      </c>
      <c r="C29" s="2"/>
      <c r="D29" s="22" t="str">
        <f t="shared" si="2"/>
        <v/>
      </c>
      <c r="E29" s="18" t="str">
        <f>IF(A29="","",SUMIF('Product Backlog'!E$6:E$102,'Release Plan'!A29,'Product Backlog'!D$6:D$102))</f>
        <v/>
      </c>
      <c r="F29" t="str">
        <f t="shared" si="5"/>
        <v>Unplanned</v>
      </c>
      <c r="H29" s="23"/>
      <c r="I29" s="30"/>
    </row>
    <row r="30" spans="1:9">
      <c r="A30" s="18" t="str">
        <f t="shared" si="3"/>
        <v/>
      </c>
      <c r="B30" s="22" t="str">
        <f t="shared" si="4"/>
        <v/>
      </c>
      <c r="C30" s="2"/>
      <c r="D30" s="22" t="str">
        <f t="shared" si="2"/>
        <v/>
      </c>
      <c r="E30" s="18" t="str">
        <f>IF(A30="","",SUMIF('Product Backlog'!E$6:E$102,'Release Plan'!A30,'Product Backlog'!D$6:D$102))</f>
        <v/>
      </c>
      <c r="F30" t="str">
        <f t="shared" si="5"/>
        <v>Unplanned</v>
      </c>
      <c r="H30" s="24"/>
      <c r="I30" s="31"/>
    </row>
    <row r="31" spans="1:9">
      <c r="A31" s="19"/>
      <c r="B31" s="19"/>
      <c r="C31" s="19"/>
      <c r="D31" s="20" t="s">
        <v>17</v>
      </c>
      <c r="E31" s="21">
        <f>SUMIF('Product Backlog'!E$6:E$102,"",'Product Backlog'!D$6:D$102)-SUMIF('Product Backlog'!C$6:C$102,"Removed",'Product Backlog'!D$6:D$102)</f>
        <v>-8</v>
      </c>
      <c r="F31" s="19"/>
      <c r="G31" s="43"/>
      <c r="H31" s="19"/>
    </row>
  </sheetData>
  <phoneticPr fontId="2" type="noConversion"/>
  <conditionalFormatting sqref="G4:H10 E31 E5:E10 A4:D10">
    <cfRule type="expression" dxfId="29" priority="1" stopIfTrue="1">
      <formula>$F4="Planned"</formula>
    </cfRule>
    <cfRule type="expression" dxfId="28" priority="2" stopIfTrue="1">
      <formula>$F4="Ongoing"</formula>
    </cfRule>
  </conditionalFormatting>
  <conditionalFormatting sqref="F4:F10 F16:F30">
    <cfRule type="expression" dxfId="27" priority="3" stopIfTrue="1">
      <formula>$F4="Planned"</formula>
    </cfRule>
    <cfRule type="expression" dxfId="26" priority="4" stopIfTrue="1">
      <formula>$F4="Ongoing"</formula>
    </cfRule>
    <cfRule type="cellIs" dxfId="25" priority="5" stopIfTrue="1" operator="equal">
      <formula>"Unplanned"</formula>
    </cfRule>
  </conditionalFormatting>
  <conditionalFormatting sqref="E4 G16:H30 A16:E30">
    <cfRule type="expression" dxfId="24" priority="6" stopIfTrue="1">
      <formula>OR($F4="Planned",$F4="Unplanned")</formula>
    </cfRule>
    <cfRule type="expression" dxfId="23" priority="7" stopIfTrue="1">
      <formula>$F4="Ongoing"</formula>
    </cfRule>
  </conditionalFormatting>
  <dataValidations count="1">
    <dataValidation type="list" allowBlank="1" showInputMessage="1" showErrorMessage="1" sqref="F4:F10 F16:F30" xr:uid="{00000000-0002-0000-0000-000000000000}">
      <formula1>"Planned,Ongoing,Released,Unplanned"</formula1>
    </dataValidation>
  </dataValidations>
  <pageMargins left="0.75" right="0.75" top="1" bottom="1" header="0.5" footer="0.5"/>
  <pageSetup paperSize="9"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J52"/>
  <sheetViews>
    <sheetView zoomScale="94" workbookViewId="0">
      <pane ySplit="4" topLeftCell="B26" activePane="bottomLeft" state="frozen"/>
      <selection pane="bottomLeft" activeCell="H31" sqref="H31"/>
    </sheetView>
  </sheetViews>
  <sheetFormatPr defaultColWidth="11.42578125" defaultRowHeight="12.75"/>
  <cols>
    <col min="1" max="1" width="11.42578125" style="27" customWidth="1"/>
    <col min="2" max="2" width="55.5703125" style="25" customWidth="1"/>
    <col min="3" max="3" width="10.85546875" style="27" customWidth="1"/>
    <col min="4" max="6" width="11.42578125" style="27" customWidth="1"/>
    <col min="7" max="7" width="39.42578125" style="25" customWidth="1"/>
    <col min="8" max="8" width="40.42578125" style="68" customWidth="1"/>
    <col min="9" max="16384" width="11.42578125" style="28"/>
  </cols>
  <sheetData>
    <row r="1" spans="1:8" ht="18">
      <c r="A1" s="45" t="s">
        <v>18</v>
      </c>
      <c r="C1" s="26" t="s">
        <v>19</v>
      </c>
    </row>
    <row r="2" spans="1:8">
      <c r="D2" s="66"/>
    </row>
    <row r="4" spans="1:8" ht="13.5" thickBot="1">
      <c r="A4" s="36" t="s">
        <v>20</v>
      </c>
      <c r="B4" s="37" t="s">
        <v>21</v>
      </c>
      <c r="C4" s="36" t="s">
        <v>6</v>
      </c>
      <c r="D4" s="36" t="s">
        <v>5</v>
      </c>
      <c r="E4" s="36" t="s">
        <v>11</v>
      </c>
      <c r="F4" s="36" t="s">
        <v>22</v>
      </c>
      <c r="G4" s="37" t="s">
        <v>23</v>
      </c>
      <c r="H4" s="69" t="s">
        <v>24</v>
      </c>
    </row>
    <row r="5" spans="1:8" ht="38.25">
      <c r="A5" s="72">
        <v>1</v>
      </c>
      <c r="B5" s="71" t="s">
        <v>25</v>
      </c>
      <c r="C5" s="73" t="s">
        <v>26</v>
      </c>
      <c r="D5" s="27">
        <v>2</v>
      </c>
      <c r="E5" s="27">
        <v>1</v>
      </c>
      <c r="F5" s="73" t="s">
        <v>27</v>
      </c>
      <c r="G5" s="102" t="s">
        <v>28</v>
      </c>
      <c r="H5" s="75" t="s">
        <v>29</v>
      </c>
    </row>
    <row r="6" spans="1:8" ht="38.25">
      <c r="A6" s="72">
        <v>2</v>
      </c>
      <c r="B6" s="71" t="s">
        <v>30</v>
      </c>
      <c r="C6" s="73" t="s">
        <v>26</v>
      </c>
      <c r="D6" s="27">
        <v>3</v>
      </c>
      <c r="E6" s="27">
        <v>1</v>
      </c>
      <c r="F6" s="73" t="s">
        <v>27</v>
      </c>
      <c r="H6" s="75" t="s">
        <v>31</v>
      </c>
    </row>
    <row r="7" spans="1:8" ht="63.75">
      <c r="A7" s="72">
        <v>3</v>
      </c>
      <c r="B7" s="71" t="s">
        <v>32</v>
      </c>
      <c r="C7" s="73" t="s">
        <v>26</v>
      </c>
      <c r="D7" s="27">
        <v>1</v>
      </c>
      <c r="E7" s="27">
        <v>1</v>
      </c>
      <c r="F7" s="73" t="s">
        <v>27</v>
      </c>
      <c r="G7" s="102" t="s">
        <v>33</v>
      </c>
      <c r="H7" s="75" t="s">
        <v>34</v>
      </c>
    </row>
    <row r="8" spans="1:8" ht="51">
      <c r="A8" s="72">
        <v>4</v>
      </c>
      <c r="B8" s="71" t="s">
        <v>35</v>
      </c>
      <c r="C8" s="73" t="s">
        <v>26</v>
      </c>
      <c r="D8" s="27">
        <v>1</v>
      </c>
      <c r="E8" s="27">
        <v>1</v>
      </c>
      <c r="F8" s="73" t="s">
        <v>27</v>
      </c>
      <c r="H8" s="75" t="s">
        <v>36</v>
      </c>
    </row>
    <row r="9" spans="1:8" ht="38.25">
      <c r="A9" s="72">
        <v>5</v>
      </c>
      <c r="B9" s="71" t="s">
        <v>37</v>
      </c>
      <c r="C9" s="73" t="s">
        <v>26</v>
      </c>
      <c r="D9" s="27">
        <v>1</v>
      </c>
      <c r="E9" s="27">
        <v>1</v>
      </c>
      <c r="F9" s="73" t="s">
        <v>27</v>
      </c>
      <c r="H9" s="75" t="s">
        <v>38</v>
      </c>
    </row>
    <row r="10" spans="1:8" ht="26.25" customHeight="1">
      <c r="A10" s="72">
        <v>6</v>
      </c>
      <c r="B10" s="71" t="s">
        <v>39</v>
      </c>
      <c r="C10" s="73" t="s">
        <v>40</v>
      </c>
      <c r="D10" s="27">
        <v>3</v>
      </c>
      <c r="E10" s="27">
        <v>2</v>
      </c>
      <c r="F10" s="73" t="s">
        <v>27</v>
      </c>
      <c r="H10" s="75" t="s">
        <v>41</v>
      </c>
    </row>
    <row r="11" spans="1:8" ht="26.25" customHeight="1">
      <c r="A11" s="72">
        <v>7</v>
      </c>
      <c r="B11" s="71" t="s">
        <v>42</v>
      </c>
      <c r="C11" s="73" t="s">
        <v>40</v>
      </c>
      <c r="D11" s="27">
        <v>2</v>
      </c>
      <c r="E11" s="27">
        <v>2</v>
      </c>
      <c r="F11" s="73" t="s">
        <v>27</v>
      </c>
      <c r="H11" s="75" t="s">
        <v>43</v>
      </c>
    </row>
    <row r="12" spans="1:8" ht="76.5">
      <c r="A12" s="72">
        <v>8</v>
      </c>
      <c r="B12" s="71" t="s">
        <v>44</v>
      </c>
      <c r="C12" s="73" t="s">
        <v>26</v>
      </c>
      <c r="D12" s="27">
        <v>4</v>
      </c>
      <c r="E12" s="27">
        <v>1</v>
      </c>
      <c r="F12" s="73" t="s">
        <v>45</v>
      </c>
      <c r="H12" s="75" t="s">
        <v>46</v>
      </c>
    </row>
    <row r="13" spans="1:8" ht="76.5">
      <c r="A13" s="72">
        <v>9</v>
      </c>
      <c r="B13" s="71" t="s">
        <v>47</v>
      </c>
      <c r="C13" s="73" t="s">
        <v>26</v>
      </c>
      <c r="D13" s="27">
        <v>4</v>
      </c>
      <c r="E13" s="27">
        <v>2</v>
      </c>
      <c r="F13" s="73" t="s">
        <v>45</v>
      </c>
      <c r="G13" s="102" t="s">
        <v>48</v>
      </c>
      <c r="H13" s="75" t="s">
        <v>49</v>
      </c>
    </row>
    <row r="14" spans="1:8" ht="38.25">
      <c r="A14" s="72">
        <v>10</v>
      </c>
      <c r="B14" s="71" t="s">
        <v>50</v>
      </c>
      <c r="C14" s="73" t="s">
        <v>26</v>
      </c>
      <c r="D14" s="27">
        <v>4</v>
      </c>
      <c r="E14" s="27">
        <v>2</v>
      </c>
      <c r="F14" s="73" t="s">
        <v>45</v>
      </c>
      <c r="G14" s="102" t="s">
        <v>51</v>
      </c>
      <c r="H14" s="75" t="s">
        <v>52</v>
      </c>
    </row>
    <row r="15" spans="1:8" ht="38.25">
      <c r="A15" s="72">
        <v>11</v>
      </c>
      <c r="B15" s="71" t="s">
        <v>53</v>
      </c>
      <c r="C15" s="73" t="s">
        <v>26</v>
      </c>
      <c r="D15" s="27">
        <v>3</v>
      </c>
      <c r="E15" s="27">
        <v>1</v>
      </c>
      <c r="F15" s="73" t="s">
        <v>54</v>
      </c>
      <c r="G15" s="102" t="s">
        <v>55</v>
      </c>
      <c r="H15" s="75" t="s">
        <v>56</v>
      </c>
    </row>
    <row r="16" spans="1:8" ht="51">
      <c r="A16" s="72">
        <v>12</v>
      </c>
      <c r="B16" s="71" t="s">
        <v>57</v>
      </c>
      <c r="C16" s="73" t="s">
        <v>15</v>
      </c>
      <c r="D16" s="27">
        <v>1</v>
      </c>
      <c r="E16" s="27">
        <v>4</v>
      </c>
      <c r="F16" s="73" t="s">
        <v>45</v>
      </c>
      <c r="H16" s="75" t="s">
        <v>58</v>
      </c>
    </row>
    <row r="17" spans="1:8" ht="38.25">
      <c r="A17" s="72">
        <v>13</v>
      </c>
      <c r="B17" s="71" t="s">
        <v>59</v>
      </c>
      <c r="C17" s="73" t="s">
        <v>15</v>
      </c>
      <c r="D17" s="27">
        <v>4</v>
      </c>
      <c r="E17" s="27">
        <v>4</v>
      </c>
      <c r="F17" s="73" t="s">
        <v>54</v>
      </c>
      <c r="H17" s="75" t="s">
        <v>60</v>
      </c>
    </row>
    <row r="18" spans="1:8" ht="25.5">
      <c r="A18" s="72">
        <v>14</v>
      </c>
      <c r="B18" s="71" t="s">
        <v>61</v>
      </c>
      <c r="C18" s="73" t="s">
        <v>15</v>
      </c>
      <c r="D18" s="27">
        <v>3</v>
      </c>
      <c r="E18" s="27">
        <v>4</v>
      </c>
      <c r="F18" s="73" t="s">
        <v>54</v>
      </c>
      <c r="G18" s="102" t="s">
        <v>62</v>
      </c>
      <c r="H18" s="75" t="s">
        <v>63</v>
      </c>
    </row>
    <row r="19" spans="1:8" ht="51">
      <c r="A19" s="72">
        <v>15</v>
      </c>
      <c r="B19" s="71" t="s">
        <v>64</v>
      </c>
      <c r="C19" s="73" t="s">
        <v>65</v>
      </c>
      <c r="D19" s="27">
        <v>4</v>
      </c>
      <c r="E19" s="27">
        <v>2</v>
      </c>
      <c r="F19" s="73" t="s">
        <v>54</v>
      </c>
      <c r="H19" s="75" t="s">
        <v>66</v>
      </c>
    </row>
    <row r="20" spans="1:8" ht="38.25">
      <c r="A20" s="72">
        <v>16</v>
      </c>
      <c r="B20" s="71" t="s">
        <v>67</v>
      </c>
      <c r="C20" s="73" t="s">
        <v>65</v>
      </c>
      <c r="D20" s="27">
        <v>4</v>
      </c>
      <c r="E20" s="27">
        <v>2</v>
      </c>
      <c r="F20" s="73" t="s">
        <v>54</v>
      </c>
      <c r="H20" s="75" t="s">
        <v>68</v>
      </c>
    </row>
    <row r="21" spans="1:8" ht="38.25">
      <c r="A21" s="72">
        <v>17</v>
      </c>
      <c r="B21" s="71" t="s">
        <v>69</v>
      </c>
      <c r="C21" s="73" t="s">
        <v>40</v>
      </c>
      <c r="D21" s="27">
        <v>4</v>
      </c>
      <c r="E21" s="27">
        <v>2</v>
      </c>
      <c r="F21" s="73" t="s">
        <v>45</v>
      </c>
      <c r="H21" s="75" t="s">
        <v>70</v>
      </c>
    </row>
    <row r="22" spans="1:8" ht="63.75">
      <c r="A22" s="72">
        <v>18</v>
      </c>
      <c r="B22" s="71" t="s">
        <v>71</v>
      </c>
      <c r="C22" s="73" t="s">
        <v>15</v>
      </c>
      <c r="D22" s="27">
        <v>3</v>
      </c>
      <c r="E22" s="27">
        <v>3</v>
      </c>
      <c r="F22" s="73" t="s">
        <v>54</v>
      </c>
      <c r="H22" s="75" t="s">
        <v>72</v>
      </c>
    </row>
    <row r="23" spans="1:8" ht="38.25">
      <c r="A23" s="72">
        <v>19</v>
      </c>
      <c r="B23" s="71" t="s">
        <v>73</v>
      </c>
      <c r="C23" s="73" t="s">
        <v>15</v>
      </c>
      <c r="D23" s="27">
        <v>2</v>
      </c>
      <c r="E23" s="27">
        <v>4</v>
      </c>
      <c r="F23" s="73" t="s">
        <v>54</v>
      </c>
      <c r="H23" s="75" t="s">
        <v>74</v>
      </c>
    </row>
    <row r="24" spans="1:8" ht="25.5">
      <c r="A24" s="72">
        <v>20</v>
      </c>
      <c r="B24" s="71" t="s">
        <v>75</v>
      </c>
      <c r="C24" s="73" t="s">
        <v>15</v>
      </c>
      <c r="D24" s="27">
        <v>2</v>
      </c>
      <c r="E24" s="27">
        <v>3</v>
      </c>
      <c r="F24" s="73" t="s">
        <v>54</v>
      </c>
      <c r="H24" s="75" t="s">
        <v>76</v>
      </c>
    </row>
    <row r="25" spans="1:8" ht="51">
      <c r="A25" s="72">
        <v>21</v>
      </c>
      <c r="B25" s="71" t="s">
        <v>77</v>
      </c>
      <c r="C25" s="73" t="s">
        <v>26</v>
      </c>
      <c r="D25" s="27">
        <v>2</v>
      </c>
      <c r="E25" s="27">
        <v>1</v>
      </c>
      <c r="F25" s="73" t="s">
        <v>54</v>
      </c>
      <c r="G25" s="102" t="s">
        <v>78</v>
      </c>
      <c r="H25" s="75" t="s">
        <v>79</v>
      </c>
    </row>
    <row r="26" spans="1:8" ht="38.25">
      <c r="A26" s="72">
        <v>22</v>
      </c>
      <c r="B26" s="71" t="s">
        <v>80</v>
      </c>
      <c r="C26" s="73" t="s">
        <v>26</v>
      </c>
      <c r="D26" s="27">
        <v>3</v>
      </c>
      <c r="E26" s="27">
        <v>2</v>
      </c>
      <c r="F26" s="73" t="s">
        <v>45</v>
      </c>
      <c r="H26" s="75" t="s">
        <v>81</v>
      </c>
    </row>
    <row r="27" spans="1:8" ht="38.25">
      <c r="A27" s="72">
        <v>23</v>
      </c>
      <c r="B27" s="71" t="s">
        <v>82</v>
      </c>
      <c r="C27" s="73" t="s">
        <v>26</v>
      </c>
      <c r="D27" s="27">
        <v>3</v>
      </c>
      <c r="E27" s="27">
        <v>1</v>
      </c>
      <c r="F27" s="73" t="s">
        <v>27</v>
      </c>
      <c r="H27" s="75" t="s">
        <v>83</v>
      </c>
    </row>
    <row r="28" spans="1:8" ht="27" customHeight="1">
      <c r="A28" s="72">
        <v>24</v>
      </c>
      <c r="B28" s="71" t="s">
        <v>84</v>
      </c>
      <c r="C28" s="73" t="s">
        <v>26</v>
      </c>
      <c r="D28" s="27">
        <v>5</v>
      </c>
      <c r="E28" s="27">
        <v>2</v>
      </c>
      <c r="F28" s="73" t="s">
        <v>45</v>
      </c>
      <c r="H28" s="103" t="s">
        <v>85</v>
      </c>
    </row>
    <row r="29" spans="1:8" ht="24.75" customHeight="1">
      <c r="A29" s="99">
        <v>25</v>
      </c>
      <c r="B29" s="76" t="s">
        <v>86</v>
      </c>
      <c r="C29" s="27" t="s">
        <v>26</v>
      </c>
      <c r="D29" s="27">
        <v>3</v>
      </c>
      <c r="E29" s="27">
        <v>3</v>
      </c>
      <c r="F29" s="73" t="s">
        <v>45</v>
      </c>
      <c r="H29" s="68" t="s">
        <v>87</v>
      </c>
    </row>
    <row r="30" spans="1:8" ht="24">
      <c r="A30" s="27">
        <v>27</v>
      </c>
      <c r="B30" s="25" t="s">
        <v>88</v>
      </c>
      <c r="C30" s="27" t="s">
        <v>26</v>
      </c>
      <c r="D30" s="27">
        <v>2</v>
      </c>
      <c r="E30" s="27">
        <v>3</v>
      </c>
      <c r="F30" s="73" t="s">
        <v>54</v>
      </c>
      <c r="H30" s="68" t="s">
        <v>89</v>
      </c>
    </row>
    <row r="36" spans="7:10">
      <c r="J36" s="64"/>
    </row>
    <row r="41" spans="7:10">
      <c r="G41" s="65"/>
    </row>
    <row r="52" spans="1:8">
      <c r="A52" s="28"/>
      <c r="B52" s="28"/>
      <c r="C52" s="28"/>
      <c r="D52" s="28"/>
      <c r="E52" s="28"/>
      <c r="F52" s="28"/>
      <c r="H52" s="25"/>
    </row>
  </sheetData>
  <phoneticPr fontId="2" type="noConversion"/>
  <conditionalFormatting sqref="G43:G51 C44:C45 A53:H162 B46:F51 H46:H51 A4:F4 G4:G21 C5:F28 A29:A51 G23:G40 B29:F43 H4:H43">
    <cfRule type="expression" dxfId="22" priority="1" stopIfTrue="1">
      <formula>$C4="Done"</formula>
    </cfRule>
    <cfRule type="expression" dxfId="21" priority="2" stopIfTrue="1">
      <formula>$C4="Ongoing"</formula>
    </cfRule>
    <cfRule type="expression" dxfId="20" priority="3" stopIfTrue="1">
      <formula>$C4="Removed"</formula>
    </cfRule>
  </conditionalFormatting>
  <conditionalFormatting sqref="G52">
    <cfRule type="expression" dxfId="19" priority="4" stopIfTrue="1">
      <formula>$C42="Done"</formula>
    </cfRule>
    <cfRule type="expression" dxfId="18" priority="5" stopIfTrue="1">
      <formula>$C42="Ongoing"</formula>
    </cfRule>
    <cfRule type="expression" dxfId="17" priority="6" stopIfTrue="1">
      <formula>$C42="Removed"</formula>
    </cfRule>
  </conditionalFormatting>
  <conditionalFormatting sqref="G41:G42">
    <cfRule type="expression" dxfId="16" priority="7" stopIfTrue="1">
      <formula>#REF!="Done"</formula>
    </cfRule>
    <cfRule type="expression" dxfId="15" priority="8" stopIfTrue="1">
      <formula>#REF!="Ongoing"</formula>
    </cfRule>
    <cfRule type="expression" dxfId="14" priority="9" stopIfTrue="1">
      <formula>#REF!="Removed"</formula>
    </cfRule>
  </conditionalFormatting>
  <conditionalFormatting sqref="G22">
    <cfRule type="expression" dxfId="13" priority="10" stopIfTrue="1">
      <formula>#REF!="Done"</formula>
    </cfRule>
    <cfRule type="expression" dxfId="12" priority="11" stopIfTrue="1">
      <formula>#REF!="Ongoing"</formula>
    </cfRule>
    <cfRule type="expression" dxfId="11" priority="12" stopIfTrue="1">
      <formula>#REF!="Removed"</formula>
    </cfRule>
  </conditionalFormatting>
  <dataValidations count="1">
    <dataValidation type="list" allowBlank="1" showInputMessage="1" sqref="C53:C162 C4 C6:C51" xr:uid="{00000000-0002-0000-0100-000000000000}">
      <formula1>"Planned,Ongoing,Done,Removed"</formula1>
    </dataValidation>
  </dataValidations>
  <pageMargins left="0.75" right="0.75" top="1" bottom="1" header="0.5" footer="0.5"/>
  <pageSetup paperSize="9" scale="84"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6" r:id="rId3" name="Button 4">
              <controlPr defaultSize="0" print="0" autoFill="0" autoPict="0" macro="[0]!SortProductBacklog">
                <anchor>
                  <from>
                    <xdr:col>2</xdr:col>
                    <xdr:colOff>485775</xdr:colOff>
                    <xdr:row>0</xdr:row>
                    <xdr:rowOff>104775</xdr:rowOff>
                  </from>
                  <to>
                    <xdr:col>5</xdr:col>
                    <xdr:colOff>581025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51"/>
  <sheetViews>
    <sheetView topLeftCell="A12" workbookViewId="0">
      <selection activeCell="AB20" sqref="AB20"/>
    </sheetView>
  </sheetViews>
  <sheetFormatPr defaultColWidth="8.85546875" defaultRowHeight="12.75"/>
  <cols>
    <col min="1" max="1" width="11.85546875" customWidth="1"/>
    <col min="2" max="4" width="8.85546875" customWidth="1"/>
    <col min="5" max="5" width="14.42578125" customWidth="1"/>
    <col min="6" max="6" width="15.7109375" hidden="1" customWidth="1"/>
    <col min="7" max="8" width="5.42578125" hidden="1" customWidth="1"/>
    <col min="9" max="9" width="7.28515625" hidden="1" customWidth="1"/>
    <col min="10" max="10" width="4.28515625" hidden="1" customWidth="1"/>
    <col min="11" max="13" width="6.85546875" hidden="1" customWidth="1"/>
    <col min="14" max="16" width="9.140625" hidden="1" customWidth="1"/>
    <col min="17" max="17" width="10.42578125" hidden="1" customWidth="1"/>
  </cols>
  <sheetData>
    <row r="1" spans="1:26" ht="18">
      <c r="A1" s="45" t="s">
        <v>90</v>
      </c>
    </row>
    <row r="3" spans="1:26">
      <c r="A3" t="s">
        <v>91</v>
      </c>
      <c r="D3">
        <v>68</v>
      </c>
      <c r="F3" t="s">
        <v>92</v>
      </c>
      <c r="G3" s="46">
        <f>IF(COUNT(B28:B39)=0,1,COUNT(B28:B39))</f>
        <v>3</v>
      </c>
    </row>
    <row r="4" spans="1:26">
      <c r="A4" t="s">
        <v>93</v>
      </c>
      <c r="D4">
        <v>3</v>
      </c>
      <c r="E4" t="s">
        <v>94</v>
      </c>
      <c r="F4" t="s">
        <v>95</v>
      </c>
      <c r="G4" s="46">
        <f>IF(COUNT(D28:D51)=0,1,COUNT(D28:D51)+1)</f>
        <v>2</v>
      </c>
    </row>
    <row r="5" spans="1:26">
      <c r="F5" t="s">
        <v>96</v>
      </c>
      <c r="G5" s="46">
        <f>IF(G4&gt;D4,G4-D4,0)</f>
        <v>0</v>
      </c>
      <c r="Z5" s="29" t="s">
        <v>97</v>
      </c>
    </row>
    <row r="6" spans="1:26">
      <c r="A6" s="1" t="s">
        <v>98</v>
      </c>
      <c r="F6" t="s">
        <v>99</v>
      </c>
      <c r="G6" s="46">
        <f>TrendSprintCount-TrendOffset</f>
        <v>2</v>
      </c>
      <c r="Z6" s="29" t="s">
        <v>100</v>
      </c>
    </row>
    <row r="7" spans="1:26">
      <c r="A7" t="s">
        <v>101</v>
      </c>
      <c r="D7">
        <v>30</v>
      </c>
      <c r="Z7" s="29" t="s">
        <v>102</v>
      </c>
    </row>
    <row r="8" spans="1:26">
      <c r="A8" s="122">
        <f>D$4</f>
        <v>3</v>
      </c>
      <c r="B8" s="122"/>
      <c r="D8" s="49">
        <f ca="1">IF(D28="","",AVERAGE(OFFSET(D27,TrendOffset,0,SprintsInTrend,1)))</f>
        <v>20</v>
      </c>
      <c r="Z8" s="29" t="s">
        <v>103</v>
      </c>
    </row>
    <row r="9" spans="1:26">
      <c r="A9" t="s">
        <v>104</v>
      </c>
      <c r="D9" s="49">
        <f ca="1">IF(D28="","",AVERAGE(OFFSET(D27,1,0,SprintCount,1)))</f>
        <v>20</v>
      </c>
      <c r="F9" t="s">
        <v>105</v>
      </c>
      <c r="G9" s="46">
        <f ca="1">IF(M28="",1,COUNT(M28:M110))</f>
        <v>5</v>
      </c>
      <c r="Z9" s="29" t="s">
        <v>106</v>
      </c>
    </row>
    <row r="10" spans="1:26">
      <c r="A10" t="s">
        <v>107</v>
      </c>
      <c r="D10" s="49">
        <f ca="1">IF(D28="","",AVERAGE(LastEight))</f>
        <v>20</v>
      </c>
      <c r="Z10" s="29" t="s">
        <v>108</v>
      </c>
    </row>
    <row r="11" spans="1:26">
      <c r="A11" t="s">
        <v>109</v>
      </c>
      <c r="D11" s="49">
        <f ca="1">IF(D28="","",IF(TrendSprintCount&lt;4,D10,AVERAGE(SMALL(LastEight,1),SMALL(LastEight,2),SMALL(LastEight,3))))</f>
        <v>20</v>
      </c>
      <c r="Z11" s="29" t="s">
        <v>110</v>
      </c>
    </row>
    <row r="12" spans="1:26">
      <c r="A12" t="s">
        <v>111</v>
      </c>
      <c r="D12" s="49">
        <f ca="1">IF(M29="","",M28-M29)</f>
        <v>20.000000000000007</v>
      </c>
      <c r="Z12" s="29" t="s">
        <v>112</v>
      </c>
    </row>
    <row r="13" spans="1:26">
      <c r="F13" s="47" t="s">
        <v>113</v>
      </c>
      <c r="Z13" s="29" t="s">
        <v>114</v>
      </c>
    </row>
    <row r="14" spans="1:26">
      <c r="A14" s="1" t="s">
        <v>115</v>
      </c>
    </row>
    <row r="15" spans="1:26">
      <c r="A15" t="s">
        <v>116</v>
      </c>
      <c r="D15" s="50">
        <f>IF(D7="",0,ROUNDUP(D3/D7*0.6,0))</f>
        <v>2</v>
      </c>
    </row>
    <row r="16" spans="1:26">
      <c r="A16" t="s">
        <v>117</v>
      </c>
      <c r="D16" s="50">
        <f>IF(D7="",0,ROUNDUP(D3/D7,0))</f>
        <v>3</v>
      </c>
    </row>
    <row r="17" spans="1:17">
      <c r="A17" t="s">
        <v>118</v>
      </c>
      <c r="D17" s="50">
        <f>IF(D7="",0,ROUNDUP(D3/D7*1.6,0))</f>
        <v>4</v>
      </c>
      <c r="F17" t="s">
        <v>119</v>
      </c>
      <c r="G17">
        <f>IF(OR(D28="",D29=""),1,STDEV(D28:D51))</f>
        <v>1</v>
      </c>
    </row>
    <row r="18" spans="1:17">
      <c r="A18" s="122">
        <f>D$4</f>
        <v>3</v>
      </c>
      <c r="B18" s="122"/>
      <c r="D18" s="50">
        <f ca="1">IF(D8="","",IF(LastRealized="",ROUNDUP(LastPlanned/D8,0)+SprintCount-1,ROUNDUP((LastPlanned-LastRealized)/D8+SprintCount,0)))</f>
        <v>4</v>
      </c>
    </row>
    <row r="19" spans="1:17">
      <c r="A19" t="s">
        <v>120</v>
      </c>
      <c r="D19" s="50">
        <f ca="1">IF(D9="","",IF(LastRealized="",ROUNDUP(LastPlanned/D9+SprintCount-1,0),ROUNDUP((LastPlanned-LastRealized)/D9,0)+SprintCount))</f>
        <v>4</v>
      </c>
      <c r="F19" t="s">
        <v>121</v>
      </c>
      <c r="G19">
        <f ca="1">LastPlanned</f>
        <v>27</v>
      </c>
    </row>
    <row r="20" spans="1:17">
      <c r="A20" t="s">
        <v>107</v>
      </c>
      <c r="D20" s="50">
        <f ca="1">IF(D10="","",IF(LastRealized="",ROUNDUP(LastPlanned/D10+SprintCount-1,0),ROUNDUP((LastPlanned-LastRealized)/D10,0)+SprintCount))</f>
        <v>4</v>
      </c>
      <c r="F20" t="s">
        <v>122</v>
      </c>
      <c r="G20">
        <f ca="1">LastRealized</f>
        <v>0</v>
      </c>
    </row>
    <row r="21" spans="1:17">
      <c r="A21" t="s">
        <v>109</v>
      </c>
      <c r="D21" s="50">
        <f ca="1">IF(D11="","",IF(LastRealized="",ROUNDUP(LastPlanned/D11+SprintCount-1,0),ROUNDUP((LastPlanned-LastRealized)/D11,0)+SprintCount))</f>
        <v>4</v>
      </c>
    </row>
    <row r="22" spans="1:17">
      <c r="A22" t="s">
        <v>111</v>
      </c>
      <c r="D22" s="50">
        <f ca="1">IF(COUNT(M28:M51)-1&gt;0,COUNT(M28:M51)-1,"")</f>
        <v>4</v>
      </c>
    </row>
    <row r="23" spans="1:17">
      <c r="A23" t="s">
        <v>123</v>
      </c>
      <c r="D23" s="50">
        <f ca="1">IF(D9="","",IF(LastRealized="",ROUNDUP(LastPlanned/(D9+G17)+SprintCount-1,0),ROUNDUP((LastPlanned-LastRealized)/(D9+G17)+SprintCount,0)))</f>
        <v>4</v>
      </c>
    </row>
    <row r="24" spans="1:17">
      <c r="A24" t="s">
        <v>124</v>
      </c>
      <c r="D24" s="50">
        <f ca="1">IF(D9="","",IF(LastRealized="",ROUNDUP(LastPlanned/(D9-G17)+SprintCount-1,0),ROUNDUP((LastPlanned-LastRealized)/(D9-G17)+SprintCount,0)))</f>
        <v>4</v>
      </c>
    </row>
    <row r="26" spans="1:17" ht="12.75" customHeight="1">
      <c r="F26" s="124" t="s">
        <v>111</v>
      </c>
      <c r="G26" s="124"/>
      <c r="H26" s="124"/>
      <c r="I26" s="124"/>
      <c r="J26" s="124"/>
      <c r="K26" s="124"/>
      <c r="L26" s="124"/>
      <c r="M26" s="124"/>
      <c r="N26" s="124"/>
      <c r="O26" s="124" t="s">
        <v>125</v>
      </c>
      <c r="P26" s="124"/>
      <c r="Q26" s="124"/>
    </row>
    <row r="27" spans="1:17" ht="26.25" thickBot="1">
      <c r="A27" s="51" t="s">
        <v>11</v>
      </c>
      <c r="B27" s="52" t="s">
        <v>126</v>
      </c>
      <c r="C27" s="52" t="s">
        <v>127</v>
      </c>
      <c r="D27" s="53" t="s">
        <v>128</v>
      </c>
      <c r="E27" s="53" t="s">
        <v>129</v>
      </c>
      <c r="F27" s="54" t="s">
        <v>130</v>
      </c>
      <c r="G27" s="123" t="s">
        <v>131</v>
      </c>
      <c r="H27" s="123"/>
      <c r="I27" s="54" t="s">
        <v>132</v>
      </c>
      <c r="J27" s="55"/>
      <c r="K27" s="54" t="s">
        <v>133</v>
      </c>
      <c r="L27" s="54" t="s">
        <v>134</v>
      </c>
      <c r="M27" s="54" t="s">
        <v>135</v>
      </c>
      <c r="N27" s="56" t="s">
        <v>136</v>
      </c>
      <c r="O27" s="54" t="s">
        <v>137</v>
      </c>
      <c r="P27" s="54" t="s">
        <v>138</v>
      </c>
      <c r="Q27" s="54" t="s">
        <v>139</v>
      </c>
    </row>
    <row r="28" spans="1:17">
      <c r="A28" s="48">
        <v>1</v>
      </c>
      <c r="B28" s="2">
        <f>D3</f>
        <v>68</v>
      </c>
      <c r="C28" s="2">
        <v>20</v>
      </c>
      <c r="D28" s="2">
        <v>20</v>
      </c>
      <c r="E28" s="48">
        <f>B28-D28</f>
        <v>48</v>
      </c>
      <c r="F28" s="46">
        <f>B28</f>
        <v>68</v>
      </c>
      <c r="G28" s="46">
        <f t="shared" ref="G28:G51" si="0">F28</f>
        <v>68</v>
      </c>
      <c r="H28" s="46">
        <f t="shared" ref="H28:H33" si="1">I28</f>
        <v>0</v>
      </c>
      <c r="I28" s="46">
        <v>0</v>
      </c>
      <c r="K28">
        <f t="shared" ref="K28:K33" si="2">IF(F28&lt;I28,I28,F28)</f>
        <v>68</v>
      </c>
      <c r="L28" s="46">
        <f t="shared" ref="L28:L51" ca="1" si="3">IF(TREND(OFFSET($K$27,TrendOffset+1,0,SprintsInTrend,1),OFFSET($A$27,TrendOffset+1,0,SprintsInTrend,1),A28)&lt;N28,N28,TREND(OFFSET($K$27,TrendOffset+1,0,SprintsInTrend,1),OFFSET($A$27,TrendOffset+1,0,SprintsInTrend,1),A28))</f>
        <v>68</v>
      </c>
      <c r="M28" s="46">
        <f ca="1">L28</f>
        <v>68</v>
      </c>
      <c r="N28" s="46">
        <f t="shared" ref="N28:N51" ca="1" si="4">OFFSET($I$27,TrendSprintCount,0,1,1)</f>
        <v>0</v>
      </c>
      <c r="O28" s="57">
        <f t="shared" ref="O28:O51" ca="1" si="5">D$9</f>
        <v>20</v>
      </c>
      <c r="P28" s="57">
        <f t="shared" ref="P28:P51" ca="1" si="6">D$10</f>
        <v>20</v>
      </c>
      <c r="Q28" s="57">
        <f t="shared" ref="Q28:Q51" ca="1" si="7">D$11</f>
        <v>20</v>
      </c>
    </row>
    <row r="29" spans="1:17">
      <c r="A29" s="48">
        <v>2</v>
      </c>
      <c r="B29" s="2">
        <f t="shared" ref="B29:B51" si="8">IF(OR(B28="",C28=""),"",IF(D28="",IF(B28-C28&lt;=0,"",B28-C28),IF(B28-D28&lt;=0,"",B28-D28)))</f>
        <v>48</v>
      </c>
      <c r="C29" s="2">
        <v>21</v>
      </c>
      <c r="D29" s="2"/>
      <c r="E29" s="48">
        <f>B29-D29</f>
        <v>48</v>
      </c>
      <c r="F29" s="46">
        <f t="shared" ref="F29:F34" si="9">IF(B29="",IF(B28="","",IF(D28="","",I28)),IF(AND(D28="",C28=""),"",IF(AND(D28="",C28&lt;&gt;""),IF(I28&gt;F28,F28,I28),F28-D28)))</f>
        <v>48</v>
      </c>
      <c r="G29" s="46">
        <f t="shared" si="0"/>
        <v>48</v>
      </c>
      <c r="H29" s="46">
        <f t="shared" si="1"/>
        <v>0</v>
      </c>
      <c r="I29" s="46">
        <f>IF(B29="",IF(B28="","",IF(D28="","",F28-D28)),IF(AND(C28="",D28=""),"",IF(AND(D28="",C28&lt;&gt;""),IF(I28&gt;F28,I28-C28,F28-C28),B$28-B29-SUM(D$28:D28))))</f>
        <v>0</v>
      </c>
      <c r="K29">
        <f t="shared" si="2"/>
        <v>48</v>
      </c>
      <c r="L29" s="46">
        <f t="shared" ca="1" si="3"/>
        <v>47.999999999999993</v>
      </c>
      <c r="M29" s="46">
        <f ca="1">IF(L29=L28,"",L29)</f>
        <v>47.999999999999993</v>
      </c>
      <c r="N29" s="46">
        <f t="shared" ca="1" si="4"/>
        <v>0</v>
      </c>
      <c r="O29" s="57">
        <f t="shared" ca="1" si="5"/>
        <v>20</v>
      </c>
      <c r="P29" s="57">
        <f t="shared" ca="1" si="6"/>
        <v>20</v>
      </c>
      <c r="Q29" s="57">
        <f t="shared" ca="1" si="7"/>
        <v>20</v>
      </c>
    </row>
    <row r="30" spans="1:17">
      <c r="A30" s="48">
        <v>3</v>
      </c>
      <c r="B30" s="2">
        <f t="shared" si="8"/>
        <v>27</v>
      </c>
      <c r="C30" s="2">
        <v>15</v>
      </c>
      <c r="D30" s="2"/>
      <c r="E30" s="48">
        <f>B30-D30</f>
        <v>27</v>
      </c>
      <c r="F30" s="46">
        <f t="shared" si="9"/>
        <v>0</v>
      </c>
      <c r="G30" s="46">
        <f t="shared" si="0"/>
        <v>0</v>
      </c>
      <c r="H30" s="46">
        <f t="shared" si="1"/>
        <v>27</v>
      </c>
      <c r="I30" s="46">
        <f>IF(B30="",IF(B29="","",IF(D29="","",F29-D29)),IF(AND(C29="",D29=""),"",IF(AND(D29="",C29&lt;&gt;""),IF(I29&gt;F29,I29-C29,F29-C29),B$28-B30-SUM(D$28:D29))))</f>
        <v>27</v>
      </c>
      <c r="K30">
        <f t="shared" si="2"/>
        <v>27</v>
      </c>
      <c r="L30" s="46">
        <f t="shared" ca="1" si="3"/>
        <v>27.999999999999986</v>
      </c>
      <c r="M30" s="46">
        <f t="shared" ref="M30:M51" ca="1" si="10">IF(L30=L29,"",L30)</f>
        <v>27.999999999999986</v>
      </c>
      <c r="N30" s="46">
        <f t="shared" ca="1" si="4"/>
        <v>0</v>
      </c>
      <c r="O30" s="57">
        <f t="shared" ca="1" si="5"/>
        <v>20</v>
      </c>
      <c r="P30" s="57">
        <f t="shared" ca="1" si="6"/>
        <v>20</v>
      </c>
      <c r="Q30" s="57">
        <f t="shared" ca="1" si="7"/>
        <v>20</v>
      </c>
    </row>
    <row r="31" spans="1:17">
      <c r="A31" s="48">
        <v>4</v>
      </c>
      <c r="B31" s="2"/>
      <c r="C31" s="2"/>
      <c r="D31" s="2"/>
      <c r="E31" s="48"/>
      <c r="F31" s="46" t="str">
        <f t="shared" si="9"/>
        <v/>
      </c>
      <c r="G31" s="46" t="str">
        <f t="shared" si="0"/>
        <v/>
      </c>
      <c r="H31" s="46" t="str">
        <f t="shared" si="1"/>
        <v/>
      </c>
      <c r="I31" s="46" t="str">
        <f>IF(B31="",IF(B30="","",IF(D30="","",F30-D30)),IF(AND(C30="",D30=""),"",IF(AND(D30="",C30&lt;&gt;""),IF(I30&gt;F30,I30-C30,F30-C30),B$28-B31-SUM(D$28:D30))))</f>
        <v/>
      </c>
      <c r="K31" t="str">
        <f t="shared" si="2"/>
        <v/>
      </c>
      <c r="L31" s="46">
        <f t="shared" ca="1" si="3"/>
        <v>7.9999999999999858</v>
      </c>
      <c r="M31" s="46">
        <f t="shared" ca="1" si="10"/>
        <v>7.9999999999999858</v>
      </c>
      <c r="N31" s="46">
        <f t="shared" ca="1" si="4"/>
        <v>0</v>
      </c>
      <c r="O31" s="57">
        <f t="shared" ca="1" si="5"/>
        <v>20</v>
      </c>
      <c r="P31" s="57">
        <f t="shared" ca="1" si="6"/>
        <v>20</v>
      </c>
      <c r="Q31" s="57">
        <f t="shared" ca="1" si="7"/>
        <v>20</v>
      </c>
    </row>
    <row r="32" spans="1:17">
      <c r="A32" s="48">
        <v>5</v>
      </c>
      <c r="B32" s="2"/>
      <c r="C32" s="2"/>
      <c r="D32" s="2"/>
      <c r="E32" s="48"/>
      <c r="F32" s="46" t="str">
        <f t="shared" si="9"/>
        <v/>
      </c>
      <c r="G32" s="46" t="str">
        <f t="shared" si="0"/>
        <v/>
      </c>
      <c r="H32" s="46" t="str">
        <f t="shared" si="1"/>
        <v/>
      </c>
      <c r="I32" s="46" t="str">
        <f>IF(B32="",IF(B31="","",IF(D31="","",F31-D31)),IF(AND(C31="",D31=""),"",IF(AND(D31="",C31&lt;&gt;""),IF(I31&gt;F31,I31-C31,F31-C31),B$28-B32-SUM(D$28:D31))))</f>
        <v/>
      </c>
      <c r="K32" t="str">
        <f t="shared" si="2"/>
        <v/>
      </c>
      <c r="L32" s="46">
        <f t="shared" ca="1" si="3"/>
        <v>0</v>
      </c>
      <c r="M32" s="46">
        <f t="shared" ca="1" si="10"/>
        <v>0</v>
      </c>
      <c r="N32" s="46">
        <f t="shared" ca="1" si="4"/>
        <v>0</v>
      </c>
      <c r="O32" s="57">
        <f t="shared" ca="1" si="5"/>
        <v>20</v>
      </c>
      <c r="P32" s="57">
        <f t="shared" ca="1" si="6"/>
        <v>20</v>
      </c>
      <c r="Q32" s="57">
        <f t="shared" ca="1" si="7"/>
        <v>20</v>
      </c>
    </row>
    <row r="33" spans="1:17">
      <c r="A33" s="48">
        <v>6</v>
      </c>
      <c r="B33" s="2" t="str">
        <f>IF(OR(B32="",C32=""),"",IF(D32="",IF(B32-C32&lt;=0,"",B32-C32),IF(B32-D32&lt;=0,"",B32-D32)))</f>
        <v/>
      </c>
      <c r="C33" s="2"/>
      <c r="D33" s="2"/>
      <c r="E33" s="48" t="str">
        <f>IF(B33="","",IF(D32="",E32,B33+SUM(D$28:D32)))</f>
        <v/>
      </c>
      <c r="F33" s="46" t="str">
        <f t="shared" si="9"/>
        <v/>
      </c>
      <c r="G33" s="46" t="str">
        <f t="shared" si="0"/>
        <v/>
      </c>
      <c r="H33" s="46" t="str">
        <f t="shared" si="1"/>
        <v/>
      </c>
      <c r="I33" s="46" t="str">
        <f>IF(B33="",IF(B32="","",IF(D32="","",F32-D32)),IF(AND(C32="",D32=""),"",IF(AND(D32="",C32&lt;&gt;""),IF(I32&gt;F32,I32-C32,F32-C32),B$28-B33-SUM(D$28:D32))))</f>
        <v/>
      </c>
      <c r="K33" t="str">
        <f t="shared" si="2"/>
        <v/>
      </c>
      <c r="L33" s="46">
        <f t="shared" ca="1" si="3"/>
        <v>0</v>
      </c>
      <c r="M33" s="46" t="str">
        <f t="shared" ca="1" si="10"/>
        <v/>
      </c>
      <c r="N33" s="46">
        <f t="shared" ca="1" si="4"/>
        <v>0</v>
      </c>
      <c r="O33" s="57">
        <f t="shared" ca="1" si="5"/>
        <v>20</v>
      </c>
      <c r="P33" s="57">
        <f t="shared" ca="1" si="6"/>
        <v>20</v>
      </c>
      <c r="Q33" s="57">
        <f t="shared" ca="1" si="7"/>
        <v>20</v>
      </c>
    </row>
    <row r="34" spans="1:17">
      <c r="A34" s="48">
        <v>7</v>
      </c>
      <c r="B34" s="2" t="str">
        <f>IF(OR(B33="",C33=""),"",IF(D33="",IF(B33-C33&lt;=0,"",B33-C33),IF(B33-D33&lt;=0,"",B33-D33)))</f>
        <v/>
      </c>
      <c r="C34" s="2"/>
      <c r="D34" s="2"/>
      <c r="E34" s="48" t="str">
        <f>IF(B34="","",IF(D33="",E33,B34+SUM(D$28:D33)))</f>
        <v/>
      </c>
      <c r="F34" s="46" t="str">
        <f t="shared" si="9"/>
        <v/>
      </c>
      <c r="G34" s="46" t="str">
        <f t="shared" si="0"/>
        <v/>
      </c>
      <c r="H34" s="46" t="str">
        <f t="shared" ref="H34:H51" si="11">I34</f>
        <v/>
      </c>
      <c r="I34" s="46" t="str">
        <f>IF(B34="",IF(B33="","",IF(D33="","",F33-D33)),IF(AND(C33="",D33=""),"",IF(AND(D33="",C33&lt;&gt;""),IF(I33&gt;F33,I33-C33,F33-C33),B$28-B34-SUM(D$28:D33))))</f>
        <v/>
      </c>
      <c r="K34" t="str">
        <f t="shared" ref="K34:K51" si="12">IF(F34&lt;I34,I34,F34)</f>
        <v/>
      </c>
      <c r="L34" s="46">
        <f t="shared" ca="1" si="3"/>
        <v>0</v>
      </c>
      <c r="M34" s="46" t="str">
        <f t="shared" ca="1" si="10"/>
        <v/>
      </c>
      <c r="N34" s="46">
        <f t="shared" ca="1" si="4"/>
        <v>0</v>
      </c>
      <c r="O34" s="57">
        <f t="shared" ca="1" si="5"/>
        <v>20</v>
      </c>
      <c r="P34" s="57">
        <f t="shared" ca="1" si="6"/>
        <v>20</v>
      </c>
      <c r="Q34" s="57">
        <f t="shared" ca="1" si="7"/>
        <v>20</v>
      </c>
    </row>
    <row r="35" spans="1:17">
      <c r="A35" s="48">
        <v>8</v>
      </c>
      <c r="B35" s="2" t="str">
        <f t="shared" si="8"/>
        <v/>
      </c>
      <c r="C35" s="2"/>
      <c r="D35" s="2"/>
      <c r="E35" s="48" t="str">
        <f>IF(B35="","",IF(D34="",E34,B35+SUM(D$28:D34)))</f>
        <v/>
      </c>
      <c r="F35" s="46" t="str">
        <f t="shared" ref="F35:F51" si="13">IF(B35="",IF(B34="","",IF(D34="","",I34)),IF(AND(D34="",C34=""),"",IF(AND(D34="",C34&lt;&gt;""),IF(I34&gt;F34,F34,I34),F34-D34)))</f>
        <v/>
      </c>
      <c r="G35" s="46" t="str">
        <f t="shared" si="0"/>
        <v/>
      </c>
      <c r="H35" s="46" t="str">
        <f t="shared" si="11"/>
        <v/>
      </c>
      <c r="I35" s="46" t="str">
        <f>IF(B35="",IF(B34="","",IF(D34="","",F34-D34)),IF(AND(C34="",D34=""),"",IF(AND(D34="",C34&lt;&gt;""),IF(I34&gt;F34,I34-C34,F34-C34),B$28-B35-SUM(D$28:D34))))</f>
        <v/>
      </c>
      <c r="K35" t="str">
        <f t="shared" si="12"/>
        <v/>
      </c>
      <c r="L35" s="46">
        <f t="shared" ca="1" si="3"/>
        <v>0</v>
      </c>
      <c r="M35" s="46" t="str">
        <f t="shared" ca="1" si="10"/>
        <v/>
      </c>
      <c r="N35" s="46">
        <f t="shared" ca="1" si="4"/>
        <v>0</v>
      </c>
      <c r="O35" s="57">
        <f t="shared" ca="1" si="5"/>
        <v>20</v>
      </c>
      <c r="P35" s="57">
        <f t="shared" ca="1" si="6"/>
        <v>20</v>
      </c>
      <c r="Q35" s="57">
        <f t="shared" ca="1" si="7"/>
        <v>20</v>
      </c>
    </row>
    <row r="36" spans="1:17">
      <c r="A36" s="48">
        <v>9</v>
      </c>
      <c r="B36" s="2" t="str">
        <f t="shared" si="8"/>
        <v/>
      </c>
      <c r="C36" s="2"/>
      <c r="D36" s="2"/>
      <c r="E36" s="48" t="str">
        <f>IF(B36="","",IF(D35="",E35,B36+SUM(D$28:D35)))</f>
        <v/>
      </c>
      <c r="F36" s="46" t="str">
        <f t="shared" si="13"/>
        <v/>
      </c>
      <c r="G36" s="46" t="str">
        <f t="shared" si="0"/>
        <v/>
      </c>
      <c r="H36" s="46" t="str">
        <f t="shared" si="11"/>
        <v/>
      </c>
      <c r="I36" s="46" t="str">
        <f>IF(B36="",IF(B35="","",IF(D35="","",F35-D35)),IF(AND(C35="",D35=""),"",IF(AND(D35="",C35&lt;&gt;""),IF(I35&gt;F35,I35-C35,F35-C35),B$28-B36-SUM(D$28:D35))))</f>
        <v/>
      </c>
      <c r="K36" t="str">
        <f t="shared" si="12"/>
        <v/>
      </c>
      <c r="L36" s="46">
        <f t="shared" ca="1" si="3"/>
        <v>0</v>
      </c>
      <c r="M36" s="46" t="str">
        <f t="shared" ca="1" si="10"/>
        <v/>
      </c>
      <c r="N36" s="46">
        <f t="shared" ca="1" si="4"/>
        <v>0</v>
      </c>
      <c r="O36" s="57">
        <f t="shared" ca="1" si="5"/>
        <v>20</v>
      </c>
      <c r="P36" s="57">
        <f t="shared" ca="1" si="6"/>
        <v>20</v>
      </c>
      <c r="Q36" s="57">
        <f t="shared" ca="1" si="7"/>
        <v>20</v>
      </c>
    </row>
    <row r="37" spans="1:17">
      <c r="A37" s="48">
        <v>10</v>
      </c>
      <c r="B37" s="2" t="str">
        <f t="shared" si="8"/>
        <v/>
      </c>
      <c r="C37" s="2"/>
      <c r="D37" s="2"/>
      <c r="E37" s="48" t="str">
        <f>IF(B37="","",IF(D36="",E36,B37+SUM(D$28:D36)))</f>
        <v/>
      </c>
      <c r="F37" s="46" t="str">
        <f t="shared" si="13"/>
        <v/>
      </c>
      <c r="G37" s="46" t="str">
        <f t="shared" si="0"/>
        <v/>
      </c>
      <c r="H37" s="46" t="str">
        <f t="shared" si="11"/>
        <v/>
      </c>
      <c r="I37" s="46" t="str">
        <f>IF(B37="",IF(B36="","",IF(D36="","",F36-D36)),IF(AND(C36="",D36=""),"",IF(AND(D36="",C36&lt;&gt;""),IF(I36&gt;F36,I36-C36,F36-C36),B$28-B37-SUM(D$28:D36))))</f>
        <v/>
      </c>
      <c r="K37" t="str">
        <f t="shared" si="12"/>
        <v/>
      </c>
      <c r="L37" s="46">
        <f t="shared" ca="1" si="3"/>
        <v>0</v>
      </c>
      <c r="M37" s="46" t="str">
        <f t="shared" ca="1" si="10"/>
        <v/>
      </c>
      <c r="N37" s="46">
        <f t="shared" ca="1" si="4"/>
        <v>0</v>
      </c>
      <c r="O37" s="57">
        <f t="shared" ca="1" si="5"/>
        <v>20</v>
      </c>
      <c r="P37" s="57">
        <f t="shared" ca="1" si="6"/>
        <v>20</v>
      </c>
      <c r="Q37" s="57">
        <f t="shared" ca="1" si="7"/>
        <v>20</v>
      </c>
    </row>
    <row r="38" spans="1:17">
      <c r="A38" s="48">
        <v>11</v>
      </c>
      <c r="B38" s="2" t="str">
        <f t="shared" si="8"/>
        <v/>
      </c>
      <c r="C38" s="2"/>
      <c r="D38" s="2"/>
      <c r="E38" s="48" t="str">
        <f>IF(B38="","",IF(D37="",E37,B38+SUM(D$28:D37)))</f>
        <v/>
      </c>
      <c r="F38" s="46" t="str">
        <f t="shared" si="13"/>
        <v/>
      </c>
      <c r="G38" s="46" t="str">
        <f t="shared" si="0"/>
        <v/>
      </c>
      <c r="H38" s="46" t="str">
        <f t="shared" si="11"/>
        <v/>
      </c>
      <c r="I38" s="46" t="str">
        <f>IF(B38="",IF(B37="","",IF(D37="","",F37-D37)),IF(AND(C37="",D37=""),"",IF(AND(D37="",C37&lt;&gt;""),IF(I37&gt;F37,I37-C37,F37-C37),B$28-B38-SUM(D$28:D37))))</f>
        <v/>
      </c>
      <c r="K38" t="str">
        <f t="shared" si="12"/>
        <v/>
      </c>
      <c r="L38" s="46">
        <f t="shared" ca="1" si="3"/>
        <v>0</v>
      </c>
      <c r="M38" s="46" t="str">
        <f t="shared" ca="1" si="10"/>
        <v/>
      </c>
      <c r="N38" s="46">
        <f t="shared" ca="1" si="4"/>
        <v>0</v>
      </c>
      <c r="O38" s="57">
        <f t="shared" ca="1" si="5"/>
        <v>20</v>
      </c>
      <c r="P38" s="57">
        <f t="shared" ca="1" si="6"/>
        <v>20</v>
      </c>
      <c r="Q38" s="57">
        <f t="shared" ca="1" si="7"/>
        <v>20</v>
      </c>
    </row>
    <row r="39" spans="1:17">
      <c r="A39" s="48">
        <v>12</v>
      </c>
      <c r="B39" s="2" t="str">
        <f t="shared" si="8"/>
        <v/>
      </c>
      <c r="C39" s="2"/>
      <c r="D39" s="2"/>
      <c r="E39" s="48" t="str">
        <f>IF(B39="","",IF(D38="",E38,B39+SUM(D$28:D38)))</f>
        <v/>
      </c>
      <c r="F39" s="46" t="str">
        <f t="shared" si="13"/>
        <v/>
      </c>
      <c r="G39" s="46" t="str">
        <f t="shared" si="0"/>
        <v/>
      </c>
      <c r="H39" s="46" t="str">
        <f t="shared" si="11"/>
        <v/>
      </c>
      <c r="I39" s="46" t="str">
        <f>IF(B39="",IF(B38="","",IF(D38="","",F38-D38)),IF(AND(C38="",D38=""),"",IF(AND(D38="",C38&lt;&gt;""),IF(I38&gt;F38,I38-C38,F38-C38),B$28-B39-SUM(D$28:D38))))</f>
        <v/>
      </c>
      <c r="K39" t="str">
        <f t="shared" si="12"/>
        <v/>
      </c>
      <c r="L39" s="46">
        <f t="shared" ca="1" si="3"/>
        <v>0</v>
      </c>
      <c r="M39" s="46" t="str">
        <f t="shared" ca="1" si="10"/>
        <v/>
      </c>
      <c r="N39" s="46">
        <f t="shared" ca="1" si="4"/>
        <v>0</v>
      </c>
      <c r="O39" s="57">
        <f t="shared" ca="1" si="5"/>
        <v>20</v>
      </c>
      <c r="P39" s="57">
        <f t="shared" ca="1" si="6"/>
        <v>20</v>
      </c>
      <c r="Q39" s="57">
        <f t="shared" ca="1" si="7"/>
        <v>20</v>
      </c>
    </row>
    <row r="40" spans="1:17">
      <c r="A40" s="48">
        <v>13</v>
      </c>
      <c r="B40" s="2" t="str">
        <f t="shared" si="8"/>
        <v/>
      </c>
      <c r="C40" s="2"/>
      <c r="E40" s="48" t="str">
        <f>IF(B40="","",IF(D39="",E39,B40+SUM(D$28:D39)))</f>
        <v/>
      </c>
      <c r="F40" s="46" t="str">
        <f t="shared" si="13"/>
        <v/>
      </c>
      <c r="G40" s="46" t="str">
        <f t="shared" si="0"/>
        <v/>
      </c>
      <c r="H40" s="46" t="str">
        <f t="shared" si="11"/>
        <v/>
      </c>
      <c r="I40" s="46" t="str">
        <f>IF(B40="",IF(B39="","",IF(D39="","",F39-D39)),IF(AND(C39="",D39=""),"",IF(AND(D39="",C39&lt;&gt;""),IF(I39&gt;F39,I39-C39,F39-C39),B$28-B40-SUM(D$28:D39))))</f>
        <v/>
      </c>
      <c r="K40" t="str">
        <f t="shared" si="12"/>
        <v/>
      </c>
      <c r="L40" s="46">
        <f t="shared" ca="1" si="3"/>
        <v>0</v>
      </c>
      <c r="M40" s="46" t="str">
        <f t="shared" ca="1" si="10"/>
        <v/>
      </c>
      <c r="N40" s="46">
        <f t="shared" ca="1" si="4"/>
        <v>0</v>
      </c>
      <c r="O40" s="57">
        <f t="shared" ca="1" si="5"/>
        <v>20</v>
      </c>
      <c r="P40" s="57">
        <f t="shared" ca="1" si="6"/>
        <v>20</v>
      </c>
      <c r="Q40" s="57">
        <f t="shared" ca="1" si="7"/>
        <v>20</v>
      </c>
    </row>
    <row r="41" spans="1:17">
      <c r="A41" s="48">
        <v>14</v>
      </c>
      <c r="B41" s="2" t="str">
        <f t="shared" si="8"/>
        <v/>
      </c>
      <c r="C41" s="2"/>
      <c r="E41" s="48" t="str">
        <f>IF(B41="","",IF(D40="",E40,B41+SUM(D$28:D40)))</f>
        <v/>
      </c>
      <c r="F41" s="46" t="str">
        <f t="shared" si="13"/>
        <v/>
      </c>
      <c r="G41" s="46" t="str">
        <f t="shared" si="0"/>
        <v/>
      </c>
      <c r="H41" s="46" t="str">
        <f t="shared" si="11"/>
        <v/>
      </c>
      <c r="I41" s="46" t="str">
        <f>IF(B41="",IF(B40="","",IF(D40="","",F40-D40)),IF(AND(C40="",D40=""),"",IF(AND(D40="",C40&lt;&gt;""),IF(I40&gt;F40,I40-C40,F40-C40),B$28-B41-SUM(D$28:D40))))</f>
        <v/>
      </c>
      <c r="K41" t="str">
        <f t="shared" si="12"/>
        <v/>
      </c>
      <c r="L41" s="46">
        <f t="shared" ca="1" si="3"/>
        <v>0</v>
      </c>
      <c r="M41" s="46" t="str">
        <f t="shared" ca="1" si="10"/>
        <v/>
      </c>
      <c r="N41" s="46">
        <f t="shared" ca="1" si="4"/>
        <v>0</v>
      </c>
      <c r="O41" s="57">
        <f t="shared" ca="1" si="5"/>
        <v>20</v>
      </c>
      <c r="P41" s="57">
        <f t="shared" ca="1" si="6"/>
        <v>20</v>
      </c>
      <c r="Q41" s="57">
        <f t="shared" ca="1" si="7"/>
        <v>20</v>
      </c>
    </row>
    <row r="42" spans="1:17">
      <c r="A42" s="48">
        <v>15</v>
      </c>
      <c r="B42" s="2" t="str">
        <f t="shared" si="8"/>
        <v/>
      </c>
      <c r="C42" s="2"/>
      <c r="E42" s="48" t="str">
        <f>IF(B42="","",IF(D41="",E41,B42+SUM(D$28:D41)))</f>
        <v/>
      </c>
      <c r="F42" s="46" t="str">
        <f t="shared" si="13"/>
        <v/>
      </c>
      <c r="G42" s="46" t="str">
        <f t="shared" si="0"/>
        <v/>
      </c>
      <c r="H42" s="46" t="str">
        <f t="shared" si="11"/>
        <v/>
      </c>
      <c r="I42" s="46" t="str">
        <f>IF(B42="",IF(B41="","",IF(D41="","",F41-D41)),IF(AND(C41="",D41=""),"",IF(AND(D41="",C41&lt;&gt;""),IF(I41&gt;F41,I41-C41,F41-C41),B$28-B42-SUM(D$28:D41))))</f>
        <v/>
      </c>
      <c r="K42" t="str">
        <f t="shared" si="12"/>
        <v/>
      </c>
      <c r="L42" s="46">
        <f t="shared" ca="1" si="3"/>
        <v>0</v>
      </c>
      <c r="M42" s="46" t="str">
        <f t="shared" ca="1" si="10"/>
        <v/>
      </c>
      <c r="N42" s="46">
        <f t="shared" ca="1" si="4"/>
        <v>0</v>
      </c>
      <c r="O42" s="57">
        <f t="shared" ca="1" si="5"/>
        <v>20</v>
      </c>
      <c r="P42" s="57">
        <f t="shared" ca="1" si="6"/>
        <v>20</v>
      </c>
      <c r="Q42" s="57">
        <f t="shared" ca="1" si="7"/>
        <v>20</v>
      </c>
    </row>
    <row r="43" spans="1:17">
      <c r="A43" s="48">
        <v>16</v>
      </c>
      <c r="B43" s="2" t="str">
        <f t="shared" si="8"/>
        <v/>
      </c>
      <c r="C43" s="2"/>
      <c r="E43" s="48" t="str">
        <f>IF(B43="","",IF(D42="",E42,B43+SUM(D$28:D42)))</f>
        <v/>
      </c>
      <c r="F43" s="46" t="str">
        <f t="shared" si="13"/>
        <v/>
      </c>
      <c r="G43" s="46" t="str">
        <f t="shared" si="0"/>
        <v/>
      </c>
      <c r="H43" s="46" t="str">
        <f t="shared" si="11"/>
        <v/>
      </c>
      <c r="I43" s="46" t="str">
        <f>IF(B43="",IF(B42="","",IF(D42="","",F42-D42)),IF(AND(C42="",D42=""),"",IF(AND(D42="",C42&lt;&gt;""),IF(I42&gt;F42,I42-C42,F42-C42),B$28-B43-SUM(D$28:D42))))</f>
        <v/>
      </c>
      <c r="K43" t="str">
        <f t="shared" si="12"/>
        <v/>
      </c>
      <c r="L43" s="46">
        <f t="shared" ca="1" si="3"/>
        <v>0</v>
      </c>
      <c r="M43" s="46" t="str">
        <f t="shared" ca="1" si="10"/>
        <v/>
      </c>
      <c r="N43" s="46">
        <f t="shared" ca="1" si="4"/>
        <v>0</v>
      </c>
      <c r="O43" s="57">
        <f t="shared" ca="1" si="5"/>
        <v>20</v>
      </c>
      <c r="P43" s="57">
        <f t="shared" ca="1" si="6"/>
        <v>20</v>
      </c>
      <c r="Q43" s="57">
        <f t="shared" ca="1" si="7"/>
        <v>20</v>
      </c>
    </row>
    <row r="44" spans="1:17">
      <c r="A44" s="48">
        <v>17</v>
      </c>
      <c r="B44" s="2" t="str">
        <f t="shared" si="8"/>
        <v/>
      </c>
      <c r="C44" s="2"/>
      <c r="E44" s="48" t="str">
        <f>IF(B44="","",IF(D43="",E43,B44+SUM(D$28:D43)))</f>
        <v/>
      </c>
      <c r="F44" s="46" t="str">
        <f t="shared" si="13"/>
        <v/>
      </c>
      <c r="G44" s="46" t="str">
        <f t="shared" si="0"/>
        <v/>
      </c>
      <c r="H44" s="46" t="str">
        <f t="shared" si="11"/>
        <v/>
      </c>
      <c r="I44" s="46" t="str">
        <f>IF(B44="",IF(B43="","",IF(D43="","",F43-D43)),IF(AND(C43="",D43=""),"",IF(AND(D43="",C43&lt;&gt;""),IF(I43&gt;F43,I43-C43,F43-C43),B$28-B44-SUM(D$28:D43))))</f>
        <v/>
      </c>
      <c r="K44" t="str">
        <f t="shared" si="12"/>
        <v/>
      </c>
      <c r="L44" s="46">
        <f t="shared" ca="1" si="3"/>
        <v>0</v>
      </c>
      <c r="M44" s="46" t="str">
        <f t="shared" ca="1" si="10"/>
        <v/>
      </c>
      <c r="N44" s="46">
        <f t="shared" ca="1" si="4"/>
        <v>0</v>
      </c>
      <c r="O44" s="57">
        <f t="shared" ca="1" si="5"/>
        <v>20</v>
      </c>
      <c r="P44" s="57">
        <f t="shared" ca="1" si="6"/>
        <v>20</v>
      </c>
      <c r="Q44" s="57">
        <f t="shared" ca="1" si="7"/>
        <v>20</v>
      </c>
    </row>
    <row r="45" spans="1:17">
      <c r="A45" s="48">
        <v>18</v>
      </c>
      <c r="B45" s="2" t="str">
        <f t="shared" si="8"/>
        <v/>
      </c>
      <c r="C45" s="2"/>
      <c r="E45" s="48" t="str">
        <f>IF(B45="","",IF(D44="",E44,B45+SUM(D$28:D44)))</f>
        <v/>
      </c>
      <c r="F45" s="46" t="str">
        <f t="shared" si="13"/>
        <v/>
      </c>
      <c r="G45" s="46" t="str">
        <f t="shared" si="0"/>
        <v/>
      </c>
      <c r="H45" s="46" t="str">
        <f t="shared" si="11"/>
        <v/>
      </c>
      <c r="I45" s="46" t="str">
        <f>IF(B45="",IF(B44="","",IF(D44="","",F44-D44)),IF(AND(C44="",D44=""),"",IF(AND(D44="",C44&lt;&gt;""),IF(I44&gt;F44,I44-C44,F44-C44),B$28-B45-SUM(D$28:D44))))</f>
        <v/>
      </c>
      <c r="K45" t="str">
        <f t="shared" si="12"/>
        <v/>
      </c>
      <c r="L45" s="46">
        <f t="shared" ca="1" si="3"/>
        <v>0</v>
      </c>
      <c r="M45" s="46" t="str">
        <f t="shared" ca="1" si="10"/>
        <v/>
      </c>
      <c r="N45" s="46">
        <f t="shared" ca="1" si="4"/>
        <v>0</v>
      </c>
      <c r="O45" s="57">
        <f t="shared" ca="1" si="5"/>
        <v>20</v>
      </c>
      <c r="P45" s="57">
        <f t="shared" ca="1" si="6"/>
        <v>20</v>
      </c>
      <c r="Q45" s="57">
        <f t="shared" ca="1" si="7"/>
        <v>20</v>
      </c>
    </row>
    <row r="46" spans="1:17">
      <c r="A46" s="48">
        <v>19</v>
      </c>
      <c r="B46" s="2" t="str">
        <f t="shared" si="8"/>
        <v/>
      </c>
      <c r="C46" s="2"/>
      <c r="E46" s="48" t="str">
        <f>IF(B46="","",IF(D45="",E45,B46+SUM(D$28:D45)))</f>
        <v/>
      </c>
      <c r="F46" s="46" t="str">
        <f t="shared" si="13"/>
        <v/>
      </c>
      <c r="G46" s="46" t="str">
        <f t="shared" si="0"/>
        <v/>
      </c>
      <c r="H46" s="46" t="str">
        <f t="shared" si="11"/>
        <v/>
      </c>
      <c r="I46" s="46" t="str">
        <f>IF(B46="",IF(B45="","",IF(D45="","",F45-D45)),IF(AND(C45="",D45=""),"",IF(AND(D45="",C45&lt;&gt;""),IF(I45&gt;F45,I45-C45,F45-C45),B$28-B46-SUM(D$28:D45))))</f>
        <v/>
      </c>
      <c r="K46" t="str">
        <f t="shared" si="12"/>
        <v/>
      </c>
      <c r="L46" s="46">
        <f t="shared" ca="1" si="3"/>
        <v>0</v>
      </c>
      <c r="M46" s="46" t="str">
        <f t="shared" ca="1" si="10"/>
        <v/>
      </c>
      <c r="N46" s="46">
        <f t="shared" ca="1" si="4"/>
        <v>0</v>
      </c>
      <c r="O46" s="57">
        <f t="shared" ca="1" si="5"/>
        <v>20</v>
      </c>
      <c r="P46" s="57">
        <f t="shared" ca="1" si="6"/>
        <v>20</v>
      </c>
      <c r="Q46" s="57">
        <f t="shared" ca="1" si="7"/>
        <v>20</v>
      </c>
    </row>
    <row r="47" spans="1:17">
      <c r="A47" s="48">
        <v>20</v>
      </c>
      <c r="B47" s="2" t="str">
        <f t="shared" si="8"/>
        <v/>
      </c>
      <c r="C47" s="2"/>
      <c r="E47" s="48" t="str">
        <f>IF(B47="","",IF(D46="",E46,B47+SUM(D$28:D46)))</f>
        <v/>
      </c>
      <c r="F47" s="46" t="str">
        <f t="shared" si="13"/>
        <v/>
      </c>
      <c r="G47" s="46" t="str">
        <f t="shared" si="0"/>
        <v/>
      </c>
      <c r="H47" s="46" t="str">
        <f t="shared" si="11"/>
        <v/>
      </c>
      <c r="I47" s="46" t="str">
        <f>IF(B47="",IF(B46="","",IF(D46="","",F46-D46)),IF(AND(C46="",D46=""),"",IF(AND(D46="",C46&lt;&gt;""),IF(I46&gt;F46,I46-C46,F46-C46),B$28-B47-SUM(D$28:D46))))</f>
        <v/>
      </c>
      <c r="K47" t="str">
        <f t="shared" si="12"/>
        <v/>
      </c>
      <c r="L47" s="46">
        <f t="shared" ca="1" si="3"/>
        <v>0</v>
      </c>
      <c r="M47" s="46" t="str">
        <f t="shared" ca="1" si="10"/>
        <v/>
      </c>
      <c r="N47" s="46">
        <f t="shared" ca="1" si="4"/>
        <v>0</v>
      </c>
      <c r="O47" s="57">
        <f t="shared" ca="1" si="5"/>
        <v>20</v>
      </c>
      <c r="P47" s="57">
        <f t="shared" ca="1" si="6"/>
        <v>20</v>
      </c>
      <c r="Q47" s="57">
        <f t="shared" ca="1" si="7"/>
        <v>20</v>
      </c>
    </row>
    <row r="48" spans="1:17">
      <c r="A48" s="48">
        <v>21</v>
      </c>
      <c r="B48" s="2" t="str">
        <f t="shared" si="8"/>
        <v/>
      </c>
      <c r="C48" s="2"/>
      <c r="E48" s="48" t="str">
        <f>IF(B48="","",IF(D47="",E47,B48+SUM(D$28:D47)))</f>
        <v/>
      </c>
      <c r="F48" s="46" t="str">
        <f t="shared" si="13"/>
        <v/>
      </c>
      <c r="G48" s="46" t="str">
        <f t="shared" si="0"/>
        <v/>
      </c>
      <c r="H48" s="46" t="str">
        <f t="shared" si="11"/>
        <v/>
      </c>
      <c r="I48" s="46" t="str">
        <f>IF(B48="",IF(B47="","",IF(D47="","",F47-D47)),IF(AND(C47="",D47=""),"",IF(AND(D47="",C47&lt;&gt;""),IF(I47&gt;F47,I47-C47,F47-C47),B$28-B48-SUM(D$28:D47))))</f>
        <v/>
      </c>
      <c r="K48" t="str">
        <f t="shared" si="12"/>
        <v/>
      </c>
      <c r="L48" s="46">
        <f t="shared" ca="1" si="3"/>
        <v>0</v>
      </c>
      <c r="M48" s="46" t="str">
        <f t="shared" ca="1" si="10"/>
        <v/>
      </c>
      <c r="N48" s="46">
        <f t="shared" ca="1" si="4"/>
        <v>0</v>
      </c>
      <c r="O48" s="57">
        <f t="shared" ca="1" si="5"/>
        <v>20</v>
      </c>
      <c r="P48" s="57">
        <f t="shared" ca="1" si="6"/>
        <v>20</v>
      </c>
      <c r="Q48" s="57">
        <f t="shared" ca="1" si="7"/>
        <v>20</v>
      </c>
    </row>
    <row r="49" spans="1:17">
      <c r="A49" s="48">
        <v>22</v>
      </c>
      <c r="B49" s="2" t="str">
        <f t="shared" si="8"/>
        <v/>
      </c>
      <c r="C49" s="2"/>
      <c r="E49" s="48" t="str">
        <f>IF(B49="","",IF(D48="",E48,B49+SUM(D$28:D48)))</f>
        <v/>
      </c>
      <c r="F49" s="46" t="str">
        <f t="shared" si="13"/>
        <v/>
      </c>
      <c r="G49" s="46" t="str">
        <f t="shared" si="0"/>
        <v/>
      </c>
      <c r="H49" s="46" t="str">
        <f t="shared" si="11"/>
        <v/>
      </c>
      <c r="I49" s="46" t="str">
        <f>IF(B49="",IF(B48="","",IF(D48="","",F48-D48)),IF(AND(C48="",D48=""),"",IF(AND(D48="",C48&lt;&gt;""),IF(I48&gt;F48,I48-C48,F48-C48),B$28-B49-SUM(D$28:D48))))</f>
        <v/>
      </c>
      <c r="K49" t="str">
        <f t="shared" si="12"/>
        <v/>
      </c>
      <c r="L49" s="46">
        <f t="shared" ca="1" si="3"/>
        <v>0</v>
      </c>
      <c r="M49" s="46" t="str">
        <f t="shared" ca="1" si="10"/>
        <v/>
      </c>
      <c r="N49" s="46">
        <f t="shared" ca="1" si="4"/>
        <v>0</v>
      </c>
      <c r="O49" s="57">
        <f t="shared" ca="1" si="5"/>
        <v>20</v>
      </c>
      <c r="P49" s="57">
        <f t="shared" ca="1" si="6"/>
        <v>20</v>
      </c>
      <c r="Q49" s="57">
        <f t="shared" ca="1" si="7"/>
        <v>20</v>
      </c>
    </row>
    <row r="50" spans="1:17">
      <c r="A50" s="48">
        <v>23</v>
      </c>
      <c r="B50" s="2" t="str">
        <f t="shared" si="8"/>
        <v/>
      </c>
      <c r="C50" s="2"/>
      <c r="E50" s="48" t="str">
        <f>IF(B50="","",IF(D49="",E49,B50+SUM(D$28:D49)))</f>
        <v/>
      </c>
      <c r="F50" s="46" t="str">
        <f t="shared" si="13"/>
        <v/>
      </c>
      <c r="G50" s="46" t="str">
        <f t="shared" si="0"/>
        <v/>
      </c>
      <c r="H50" s="46" t="str">
        <f t="shared" si="11"/>
        <v/>
      </c>
      <c r="I50" s="46" t="str">
        <f>IF(B50="",IF(B49="","",IF(D49="","",F49-D49)),IF(AND(C49="",D49=""),"",IF(AND(D49="",C49&lt;&gt;""),IF(I49&gt;F49,I49-C49,F49-C49),B$28-B50-SUM(D$28:D49))))</f>
        <v/>
      </c>
      <c r="K50" t="str">
        <f t="shared" si="12"/>
        <v/>
      </c>
      <c r="L50" s="46">
        <f t="shared" ca="1" si="3"/>
        <v>0</v>
      </c>
      <c r="M50" s="46" t="str">
        <f t="shared" ca="1" si="10"/>
        <v/>
      </c>
      <c r="N50" s="46">
        <f t="shared" ca="1" si="4"/>
        <v>0</v>
      </c>
      <c r="O50" s="57">
        <f t="shared" ca="1" si="5"/>
        <v>20</v>
      </c>
      <c r="P50" s="57">
        <f t="shared" ca="1" si="6"/>
        <v>20</v>
      </c>
      <c r="Q50" s="57">
        <f t="shared" ca="1" si="7"/>
        <v>20</v>
      </c>
    </row>
    <row r="51" spans="1:17">
      <c r="A51" s="48">
        <v>24</v>
      </c>
      <c r="B51" s="2" t="str">
        <f t="shared" si="8"/>
        <v/>
      </c>
      <c r="C51" s="2"/>
      <c r="E51" s="48" t="str">
        <f>IF(B51="","",IF(D50="",E50,B51+SUM(D$28:D50)))</f>
        <v/>
      </c>
      <c r="F51" s="46" t="str">
        <f t="shared" si="13"/>
        <v/>
      </c>
      <c r="G51" s="46" t="str">
        <f t="shared" si="0"/>
        <v/>
      </c>
      <c r="H51" s="46" t="str">
        <f t="shared" si="11"/>
        <v/>
      </c>
      <c r="I51" s="46" t="str">
        <f>IF(B51="",IF(B50="","",IF(D50="","",F50-D50)),IF(AND(C50="",D50=""),"",IF(AND(D50="",C50&lt;&gt;""),IF(I50&gt;F50,I50-C50,F50-C50),B$28-B51-SUM(D$28:D50))))</f>
        <v/>
      </c>
      <c r="K51" t="str">
        <f t="shared" si="12"/>
        <v/>
      </c>
      <c r="L51" s="46">
        <f t="shared" ca="1" si="3"/>
        <v>0</v>
      </c>
      <c r="M51" s="46" t="str">
        <f t="shared" ca="1" si="10"/>
        <v/>
      </c>
      <c r="N51" s="46">
        <f t="shared" ca="1" si="4"/>
        <v>0</v>
      </c>
      <c r="O51" s="57">
        <f t="shared" ca="1" si="5"/>
        <v>20</v>
      </c>
      <c r="P51" s="57">
        <f t="shared" ca="1" si="6"/>
        <v>20</v>
      </c>
      <c r="Q51" s="57">
        <f t="shared" ca="1" si="7"/>
        <v>20</v>
      </c>
    </row>
  </sheetData>
  <mergeCells count="5">
    <mergeCell ref="A8:B8"/>
    <mergeCell ref="A18:B18"/>
    <mergeCell ref="G27:H27"/>
    <mergeCell ref="O26:Q26"/>
    <mergeCell ref="F26:N26"/>
  </mergeCells>
  <phoneticPr fontId="2" type="noConversion"/>
  <conditionalFormatting sqref="K27:N27 A27:G27 F26 I27 O26:O27 P27:Q27">
    <cfRule type="expression" dxfId="10" priority="1" stopIfTrue="1">
      <formula>$D26="Done"</formula>
    </cfRule>
    <cfRule type="expression" dxfId="9" priority="2" stopIfTrue="1">
      <formula>$D26="Ongoing"</formula>
    </cfRule>
    <cfRule type="expression" dxfId="8" priority="3" stopIfTrue="1">
      <formula>$D26="Removed"</formula>
    </cfRule>
  </conditionalFormatting>
  <pageMargins left="0.75" right="0.75" top="1" bottom="1" header="0.5" footer="0.5"/>
  <pageSetup paperSize="9"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87"/>
  <sheetViews>
    <sheetView workbookViewId="0">
      <pane ySplit="14" topLeftCell="D40" activePane="bottomLeft" state="frozen"/>
      <selection pane="bottomLeft" activeCell="D40" sqref="D40"/>
    </sheetView>
  </sheetViews>
  <sheetFormatPr defaultColWidth="11.42578125" defaultRowHeight="12.75"/>
  <cols>
    <col min="1" max="1" width="43.42578125" style="28" customWidth="1"/>
    <col min="2" max="2" width="8.42578125" style="27" customWidth="1"/>
    <col min="3" max="3" width="13.7109375" style="28" customWidth="1"/>
    <col min="4" max="4" width="10.85546875" style="28" customWidth="1"/>
    <col min="5" max="5" width="6.42578125" style="27" customWidth="1"/>
    <col min="6" max="30" width="4.42578125" style="27" customWidth="1"/>
    <col min="31" max="16384" width="11.42578125" style="28"/>
  </cols>
  <sheetData>
    <row r="1" spans="1:30" ht="18">
      <c r="A1" s="104">
        <v>1</v>
      </c>
      <c r="B1" s="105"/>
      <c r="E1" s="28"/>
      <c r="F1" s="28"/>
      <c r="G1" s="28"/>
      <c r="H1" s="28"/>
      <c r="I1" s="28"/>
      <c r="J1" s="28"/>
      <c r="K1" s="28"/>
      <c r="L1" s="28"/>
      <c r="M1" s="28"/>
      <c r="N1" s="28"/>
      <c r="O1" s="28"/>
      <c r="P1" s="28"/>
      <c r="Q1" s="28"/>
      <c r="R1" s="28"/>
      <c r="S1" s="28"/>
      <c r="T1" s="28"/>
      <c r="U1" s="28"/>
      <c r="V1" s="28"/>
      <c r="W1" s="28"/>
      <c r="X1" s="28"/>
      <c r="Y1" s="28"/>
      <c r="Z1" s="28"/>
      <c r="AA1" s="28"/>
      <c r="AB1" s="28"/>
      <c r="AC1" s="28"/>
      <c r="AD1" s="28"/>
    </row>
    <row r="2" spans="1:30">
      <c r="E2" s="28"/>
      <c r="F2" s="28"/>
      <c r="G2" s="28"/>
      <c r="H2" s="28"/>
      <c r="I2" s="28"/>
      <c r="J2" s="28"/>
      <c r="K2" s="28"/>
      <c r="L2" s="28"/>
      <c r="M2" s="28"/>
      <c r="N2" s="28"/>
      <c r="O2" s="28"/>
      <c r="P2" s="28"/>
      <c r="Q2" s="28"/>
      <c r="R2" s="28"/>
      <c r="S2" s="28"/>
      <c r="T2" s="28"/>
      <c r="U2" s="28"/>
      <c r="V2" s="28"/>
      <c r="W2" s="28"/>
      <c r="X2" s="28"/>
      <c r="Y2" s="28"/>
      <c r="Z2" s="28"/>
      <c r="AA2" s="28"/>
      <c r="AB2" s="28"/>
      <c r="AC2" s="28"/>
      <c r="AD2" s="28"/>
    </row>
    <row r="9" spans="1:30">
      <c r="A9" s="58" t="s">
        <v>140</v>
      </c>
      <c r="B9" s="27">
        <v>10</v>
      </c>
      <c r="C9" s="58"/>
      <c r="D9" s="59"/>
      <c r="E9" s="58" t="s">
        <v>141</v>
      </c>
      <c r="F9" s="58" t="s">
        <v>142</v>
      </c>
      <c r="G9" s="58"/>
      <c r="H9" s="58"/>
      <c r="I9" s="58"/>
      <c r="J9" s="58"/>
      <c r="K9" s="58"/>
      <c r="L9" s="58"/>
      <c r="M9" s="59"/>
      <c r="N9" s="59"/>
      <c r="O9" s="59"/>
      <c r="P9" s="59"/>
      <c r="Q9" s="59"/>
      <c r="R9" s="59"/>
      <c r="S9" s="59"/>
      <c r="T9" s="59"/>
      <c r="U9" s="59"/>
      <c r="V9" s="59"/>
      <c r="W9" s="59"/>
      <c r="X9" s="59"/>
      <c r="Y9" s="59"/>
      <c r="Z9" s="59"/>
      <c r="AA9" s="59"/>
      <c r="AB9" s="59"/>
      <c r="AC9" s="59"/>
      <c r="AD9" s="59"/>
    </row>
    <row r="10" spans="1:30">
      <c r="A10" s="58" t="s">
        <v>143</v>
      </c>
      <c r="B10" s="27">
        <v>10</v>
      </c>
      <c r="C10" s="58" t="s">
        <v>3</v>
      </c>
      <c r="D10" s="58" t="s">
        <v>144</v>
      </c>
      <c r="E10" s="60">
        <f ca="1">SUM(OFFSET(E14,1,0,TaskRows,1))</f>
        <v>36.5</v>
      </c>
      <c r="F10" s="60">
        <f ca="1">IF(AND(SUM(OFFSET(F14,1,0,TaskRows,1))=0),0,SUM(OFFSET(F14,1,0,TaskRows,1)))</f>
        <v>36.5</v>
      </c>
      <c r="G10" s="60">
        <f t="shared" ref="G10:AD10" ca="1" si="0">IF(AND(SUM(OFFSET(G14,1,0,TaskRows,1))=0),"",SUM(OFFSET(G14,1,0,TaskRows,1)))</f>
        <v>32.5</v>
      </c>
      <c r="H10" s="60">
        <f t="shared" ca="1" si="0"/>
        <v>32.5</v>
      </c>
      <c r="I10" s="60">
        <f t="shared" ca="1" si="0"/>
        <v>30</v>
      </c>
      <c r="J10" s="60">
        <f t="shared" ca="1" si="0"/>
        <v>23.5</v>
      </c>
      <c r="K10" s="60">
        <f t="shared" ca="1" si="0"/>
        <v>15.5</v>
      </c>
      <c r="L10" s="60">
        <f t="shared" ca="1" si="0"/>
        <v>7</v>
      </c>
      <c r="M10" s="60">
        <f t="shared" ca="1" si="0"/>
        <v>2</v>
      </c>
      <c r="N10" s="60" t="str">
        <f t="shared" ca="1" si="0"/>
        <v/>
      </c>
      <c r="O10" s="60" t="str">
        <f t="shared" ca="1" si="0"/>
        <v/>
      </c>
      <c r="P10" s="60" t="str">
        <f t="shared" ca="1" si="0"/>
        <v/>
      </c>
      <c r="Q10" s="60" t="str">
        <f t="shared" ca="1" si="0"/>
        <v/>
      </c>
      <c r="R10" s="60" t="str">
        <f t="shared" ca="1" si="0"/>
        <v/>
      </c>
      <c r="S10" s="60" t="str">
        <f t="shared" ca="1" si="0"/>
        <v/>
      </c>
      <c r="T10" s="60" t="str">
        <f t="shared" ca="1" si="0"/>
        <v/>
      </c>
      <c r="U10" s="60" t="str">
        <f t="shared" ca="1" si="0"/>
        <v/>
      </c>
      <c r="V10" s="60" t="str">
        <f t="shared" ca="1" si="0"/>
        <v/>
      </c>
      <c r="W10" s="60" t="str">
        <f t="shared" ca="1" si="0"/>
        <v/>
      </c>
      <c r="X10" s="60" t="str">
        <f t="shared" ca="1" si="0"/>
        <v/>
      </c>
      <c r="Y10" s="60" t="str">
        <f t="shared" ca="1" si="0"/>
        <v/>
      </c>
      <c r="Z10" s="60" t="str">
        <f t="shared" ca="1" si="0"/>
        <v/>
      </c>
      <c r="AA10" s="60" t="str">
        <f t="shared" ca="1" si="0"/>
        <v/>
      </c>
      <c r="AB10" s="60" t="str">
        <f t="shared" ca="1" si="0"/>
        <v/>
      </c>
      <c r="AC10" s="60" t="str">
        <f t="shared" ca="1" si="0"/>
        <v/>
      </c>
      <c r="AD10" s="60" t="str">
        <f t="shared" ca="1" si="0"/>
        <v/>
      </c>
    </row>
    <row r="11" spans="1:30" customFormat="1" hidden="1">
      <c r="A11" t="s">
        <v>145</v>
      </c>
      <c r="B11" s="2">
        <f>IF(COUNTA(A15:A242)=0,1,COUNTA(A15:A242))</f>
        <v>20</v>
      </c>
      <c r="C11" t="s">
        <v>146</v>
      </c>
      <c r="D11" s="2">
        <f ca="1">IF(COUNTIF(F10:AD10,"&gt;0")=0,1,COUNTIF(F10:AD10,"&gt;0"))</f>
        <v>8</v>
      </c>
      <c r="E11" s="2"/>
      <c r="F11" s="2">
        <f ca="1">IF(F14="","",$E10-$E10/($B9-1)*(F14-1))</f>
        <v>36.5</v>
      </c>
      <c r="G11" s="2">
        <f t="shared" ref="G11:AD11" ca="1" si="1">IF(G14="","",TotalEffort-TotalEffort/(ImplementationDays)*(G14-1))</f>
        <v>32.85</v>
      </c>
      <c r="H11" s="2">
        <f t="shared" ca="1" si="1"/>
        <v>29.2</v>
      </c>
      <c r="I11" s="2">
        <f t="shared" ca="1" si="1"/>
        <v>25.55</v>
      </c>
      <c r="J11" s="2">
        <f t="shared" ca="1" si="1"/>
        <v>21.9</v>
      </c>
      <c r="K11" s="2">
        <f t="shared" ca="1" si="1"/>
        <v>18.25</v>
      </c>
      <c r="L11" s="2">
        <f t="shared" ca="1" si="1"/>
        <v>14.600000000000001</v>
      </c>
      <c r="M11" s="2">
        <f t="shared" ca="1" si="1"/>
        <v>10.95</v>
      </c>
      <c r="N11" s="2">
        <f t="shared" ca="1" si="1"/>
        <v>7.3000000000000007</v>
      </c>
      <c r="O11" s="2">
        <f t="shared" ca="1" si="1"/>
        <v>3.6499999999999986</v>
      </c>
      <c r="P11" s="2" t="str">
        <f t="shared" ca="1" si="1"/>
        <v/>
      </c>
      <c r="Q11" s="2" t="str">
        <f t="shared" ca="1" si="1"/>
        <v/>
      </c>
      <c r="R11" s="2" t="str">
        <f t="shared" ca="1" si="1"/>
        <v/>
      </c>
      <c r="S11" s="2" t="str">
        <f t="shared" ca="1" si="1"/>
        <v/>
      </c>
      <c r="T11" s="2" t="str">
        <f t="shared" ca="1" si="1"/>
        <v/>
      </c>
      <c r="U11" s="2" t="str">
        <f t="shared" ca="1" si="1"/>
        <v/>
      </c>
      <c r="V11" s="2" t="str">
        <f t="shared" ca="1" si="1"/>
        <v/>
      </c>
      <c r="W11" s="2" t="str">
        <f t="shared" ca="1" si="1"/>
        <v/>
      </c>
      <c r="X11" s="2" t="str">
        <f t="shared" ca="1" si="1"/>
        <v/>
      </c>
      <c r="Y11" s="2" t="str">
        <f t="shared" ca="1" si="1"/>
        <v/>
      </c>
      <c r="Z11" s="2" t="str">
        <f t="shared" ca="1" si="1"/>
        <v/>
      </c>
      <c r="AA11" s="2" t="str">
        <f t="shared" ca="1" si="1"/>
        <v/>
      </c>
      <c r="AB11" s="2" t="str">
        <f t="shared" ca="1" si="1"/>
        <v/>
      </c>
      <c r="AC11" s="2" t="str">
        <f t="shared" ca="1" si="1"/>
        <v/>
      </c>
      <c r="AD11" s="2" t="str">
        <f t="shared" ca="1" si="1"/>
        <v/>
      </c>
    </row>
    <row r="12" spans="1:30" customFormat="1" hidden="1">
      <c r="A12" s="47" t="s">
        <v>147</v>
      </c>
      <c r="C12" t="s">
        <v>111</v>
      </c>
      <c r="D12" s="2"/>
      <c r="E12" s="2"/>
      <c r="F12" s="2">
        <f t="shared" ref="F12:AD12" ca="1" si="2">IF(TREND(OFFSET($F10,0,DoneDays-TrendDays,1,TrendDays),OFFSET($F13,0,DoneDays-TrendDays,1,TrendDays),F13)&lt;0,"",TREND(OFFSET($F10,0,DoneDays-TrendDays,1,TrendDays),OFFSET($F13,0,DoneDays-TrendDays,1,TrendDays),F13))</f>
        <v>40.208333333333336</v>
      </c>
      <c r="G12" s="2">
        <f t="shared" ca="1" si="2"/>
        <v>35.130952380952387</v>
      </c>
      <c r="H12" s="2">
        <f t="shared" ca="1" si="2"/>
        <v>30.053571428571431</v>
      </c>
      <c r="I12" s="2">
        <f t="shared" ca="1" si="2"/>
        <v>24.976190476190478</v>
      </c>
      <c r="J12" s="2">
        <f t="shared" ca="1" si="2"/>
        <v>19.898809523809526</v>
      </c>
      <c r="K12" s="2">
        <f t="shared" ca="1" si="2"/>
        <v>14.821428571428569</v>
      </c>
      <c r="L12" s="2">
        <f t="shared" ca="1" si="2"/>
        <v>9.7440476190476204</v>
      </c>
      <c r="M12" s="2">
        <f t="shared" ca="1" si="2"/>
        <v>4.6666666666666643</v>
      </c>
      <c r="N12" s="2" t="str">
        <f t="shared" ca="1" si="2"/>
        <v/>
      </c>
      <c r="O12" s="2" t="str">
        <f t="shared" ca="1" si="2"/>
        <v/>
      </c>
      <c r="P12" s="2" t="str">
        <f t="shared" ca="1" si="2"/>
        <v/>
      </c>
      <c r="Q12" s="2" t="str">
        <f t="shared" ca="1" si="2"/>
        <v/>
      </c>
      <c r="R12" s="2" t="str">
        <f t="shared" ca="1" si="2"/>
        <v/>
      </c>
      <c r="S12" s="2" t="str">
        <f t="shared" ca="1" si="2"/>
        <v/>
      </c>
      <c r="T12" s="2" t="str">
        <f t="shared" ca="1" si="2"/>
        <v/>
      </c>
      <c r="U12" s="2" t="str">
        <f t="shared" ca="1" si="2"/>
        <v/>
      </c>
      <c r="V12" s="2" t="str">
        <f t="shared" ca="1" si="2"/>
        <v/>
      </c>
      <c r="W12" s="2" t="str">
        <f t="shared" ca="1" si="2"/>
        <v/>
      </c>
      <c r="X12" s="2" t="str">
        <f t="shared" ca="1" si="2"/>
        <v/>
      </c>
      <c r="Y12" s="2" t="str">
        <f t="shared" ca="1" si="2"/>
        <v/>
      </c>
      <c r="Z12" s="2" t="str">
        <f t="shared" ca="1" si="2"/>
        <v/>
      </c>
      <c r="AA12" s="2" t="str">
        <f t="shared" ca="1" si="2"/>
        <v/>
      </c>
      <c r="AB12" s="2" t="str">
        <f t="shared" ca="1" si="2"/>
        <v/>
      </c>
      <c r="AC12" s="2" t="str">
        <f t="shared" ca="1" si="2"/>
        <v/>
      </c>
      <c r="AD12" s="2" t="str">
        <f t="shared" ca="1" si="2"/>
        <v/>
      </c>
    </row>
    <row r="13" spans="1:30" customFormat="1" hidden="1">
      <c r="A13" s="47" t="s">
        <v>148</v>
      </c>
      <c r="C13" t="s">
        <v>149</v>
      </c>
      <c r="D13" s="2">
        <f ca="1">IF(DoneDays&gt;B10,B10,DoneDays)</f>
        <v>8</v>
      </c>
      <c r="E13" s="2"/>
      <c r="F13" s="2">
        <f ca="1">IF(DoneDays&gt;E13,E13+1,"")</f>
        <v>1</v>
      </c>
      <c r="G13" s="2">
        <v>2</v>
      </c>
      <c r="H13" s="2">
        <v>3</v>
      </c>
      <c r="I13" s="2">
        <v>4</v>
      </c>
      <c r="J13" s="2">
        <v>5</v>
      </c>
      <c r="K13" s="2">
        <v>6</v>
      </c>
      <c r="L13" s="2">
        <v>7</v>
      </c>
      <c r="M13" s="2">
        <v>8</v>
      </c>
      <c r="N13" s="2">
        <v>9</v>
      </c>
      <c r="O13" s="2">
        <v>10</v>
      </c>
      <c r="P13" s="2">
        <v>11</v>
      </c>
      <c r="Q13" s="2">
        <v>12</v>
      </c>
      <c r="R13" s="2">
        <v>13</v>
      </c>
      <c r="S13" s="2">
        <v>14</v>
      </c>
      <c r="T13" s="2">
        <v>15</v>
      </c>
      <c r="U13" s="2">
        <v>16</v>
      </c>
      <c r="V13" s="2">
        <v>17</v>
      </c>
      <c r="W13" s="2">
        <v>18</v>
      </c>
      <c r="X13" s="2">
        <v>19</v>
      </c>
      <c r="Y13" s="2">
        <v>20</v>
      </c>
      <c r="Z13" s="2">
        <v>21</v>
      </c>
      <c r="AA13" s="2">
        <v>22</v>
      </c>
      <c r="AB13" s="2">
        <v>23</v>
      </c>
      <c r="AC13" s="2">
        <v>24</v>
      </c>
      <c r="AD13" s="2">
        <v>25</v>
      </c>
    </row>
    <row r="14" spans="1:30">
      <c r="A14" s="58" t="s">
        <v>150</v>
      </c>
      <c r="B14" s="61" t="s">
        <v>20</v>
      </c>
      <c r="C14" s="58" t="s">
        <v>151</v>
      </c>
      <c r="D14" s="58" t="s">
        <v>6</v>
      </c>
      <c r="E14" s="61" t="s">
        <v>152</v>
      </c>
      <c r="F14" s="61">
        <v>1</v>
      </c>
      <c r="G14" s="61">
        <f t="shared" ref="G14:AD14" si="3">IF($B$9&gt;F14,F14+1,"")</f>
        <v>2</v>
      </c>
      <c r="H14" s="61">
        <f t="shared" si="3"/>
        <v>3</v>
      </c>
      <c r="I14" s="61">
        <f t="shared" si="3"/>
        <v>4</v>
      </c>
      <c r="J14" s="61">
        <f t="shared" si="3"/>
        <v>5</v>
      </c>
      <c r="K14" s="61">
        <f t="shared" si="3"/>
        <v>6</v>
      </c>
      <c r="L14" s="61">
        <f t="shared" si="3"/>
        <v>7</v>
      </c>
      <c r="M14" s="61">
        <f t="shared" si="3"/>
        <v>8</v>
      </c>
      <c r="N14" s="61">
        <f t="shared" si="3"/>
        <v>9</v>
      </c>
      <c r="O14" s="61">
        <f t="shared" si="3"/>
        <v>10</v>
      </c>
      <c r="P14" s="61" t="str">
        <f t="shared" si="3"/>
        <v/>
      </c>
      <c r="Q14" s="61" t="str">
        <f t="shared" si="3"/>
        <v/>
      </c>
      <c r="R14" s="61" t="str">
        <f t="shared" si="3"/>
        <v/>
      </c>
      <c r="S14" s="61" t="str">
        <f t="shared" si="3"/>
        <v/>
      </c>
      <c r="T14" s="61" t="str">
        <f t="shared" si="3"/>
        <v/>
      </c>
      <c r="U14" s="61" t="str">
        <f t="shared" si="3"/>
        <v/>
      </c>
      <c r="V14" s="61" t="str">
        <f t="shared" si="3"/>
        <v/>
      </c>
      <c r="W14" s="61" t="str">
        <f t="shared" si="3"/>
        <v/>
      </c>
      <c r="X14" s="61" t="str">
        <f t="shared" si="3"/>
        <v/>
      </c>
      <c r="Y14" s="61" t="str">
        <f t="shared" si="3"/>
        <v/>
      </c>
      <c r="Z14" s="61" t="str">
        <f t="shared" si="3"/>
        <v/>
      </c>
      <c r="AA14" s="61" t="str">
        <f t="shared" si="3"/>
        <v/>
      </c>
      <c r="AB14" s="61" t="str">
        <f t="shared" si="3"/>
        <v/>
      </c>
      <c r="AC14" s="61" t="str">
        <f t="shared" si="3"/>
        <v/>
      </c>
      <c r="AD14" s="61" t="str">
        <f t="shared" si="3"/>
        <v/>
      </c>
    </row>
    <row r="15" spans="1:30">
      <c r="A15" s="72" t="s">
        <v>153</v>
      </c>
      <c r="B15" s="72">
        <v>1</v>
      </c>
      <c r="C15" s="72" t="s">
        <v>154</v>
      </c>
      <c r="D15" s="72" t="s">
        <v>26</v>
      </c>
      <c r="E15" s="2">
        <v>1</v>
      </c>
      <c r="F15" s="2">
        <f t="shared" ref="F15:F57" si="4">IF(OR(F$14="",$E15=""),"",E15)</f>
        <v>1</v>
      </c>
      <c r="G15" s="2">
        <v>0.5</v>
      </c>
      <c r="H15" s="2">
        <v>0.5</v>
      </c>
      <c r="I15" s="2">
        <v>0</v>
      </c>
      <c r="J15" s="27">
        <v>0</v>
      </c>
      <c r="K15" s="27">
        <v>0</v>
      </c>
      <c r="L15" s="27">
        <v>0</v>
      </c>
      <c r="M15" s="27">
        <v>0</v>
      </c>
      <c r="N15" s="27">
        <v>0</v>
      </c>
      <c r="O15" s="27">
        <v>0</v>
      </c>
    </row>
    <row r="16" spans="1:30">
      <c r="A16" s="72" t="s">
        <v>155</v>
      </c>
      <c r="B16" s="72">
        <v>1</v>
      </c>
      <c r="C16" s="72" t="s">
        <v>154</v>
      </c>
      <c r="D16" s="72" t="s">
        <v>26</v>
      </c>
      <c r="E16" s="2">
        <v>3</v>
      </c>
      <c r="F16" s="2">
        <f t="shared" si="4"/>
        <v>3</v>
      </c>
      <c r="G16" s="2">
        <v>3</v>
      </c>
      <c r="H16" s="2">
        <v>3</v>
      </c>
      <c r="I16" s="2">
        <v>1</v>
      </c>
      <c r="J16" s="27">
        <v>1.5</v>
      </c>
      <c r="K16" s="27">
        <v>0.5</v>
      </c>
      <c r="L16" s="27">
        <v>0</v>
      </c>
      <c r="M16" s="27">
        <v>0</v>
      </c>
      <c r="N16" s="27">
        <v>0</v>
      </c>
      <c r="O16" s="27">
        <v>0</v>
      </c>
    </row>
    <row r="17" spans="1:30">
      <c r="A17" s="72" t="s">
        <v>156</v>
      </c>
      <c r="B17" s="72">
        <v>2</v>
      </c>
      <c r="C17" s="72" t="s">
        <v>157</v>
      </c>
      <c r="D17" s="72" t="s">
        <v>26</v>
      </c>
      <c r="E17" s="2">
        <v>1</v>
      </c>
      <c r="F17" s="2">
        <f t="shared" si="4"/>
        <v>1</v>
      </c>
      <c r="G17" s="2">
        <v>1</v>
      </c>
      <c r="H17" s="2">
        <v>1</v>
      </c>
      <c r="I17" s="2">
        <v>1</v>
      </c>
      <c r="J17" s="27">
        <v>1</v>
      </c>
      <c r="K17" s="27">
        <v>0</v>
      </c>
      <c r="L17" s="27">
        <v>0</v>
      </c>
      <c r="M17" s="27">
        <v>0</v>
      </c>
      <c r="N17" s="27">
        <v>0</v>
      </c>
      <c r="O17" s="27">
        <v>0</v>
      </c>
      <c r="AC17" s="27" t="str">
        <f>IF(OR(AC$14="",$E17=""),"",AB17)</f>
        <v/>
      </c>
      <c r="AD17" s="27" t="str">
        <f>IF(OR(AD$14="",$E17=""),"",AC17)</f>
        <v/>
      </c>
    </row>
    <row r="18" spans="1:30">
      <c r="A18" s="72" t="s">
        <v>158</v>
      </c>
      <c r="B18" s="72">
        <v>2</v>
      </c>
      <c r="C18" s="72" t="s">
        <v>157</v>
      </c>
      <c r="D18" s="72" t="s">
        <v>26</v>
      </c>
      <c r="E18" s="2">
        <v>1</v>
      </c>
      <c r="F18" s="2">
        <f t="shared" si="4"/>
        <v>1</v>
      </c>
      <c r="G18" s="2">
        <v>1</v>
      </c>
      <c r="H18" s="2">
        <v>1</v>
      </c>
      <c r="I18" s="2">
        <v>1</v>
      </c>
      <c r="J18" s="27">
        <v>1</v>
      </c>
      <c r="K18" s="27">
        <v>0</v>
      </c>
      <c r="L18" s="27">
        <v>0</v>
      </c>
      <c r="M18" s="27">
        <v>0</v>
      </c>
      <c r="N18" s="27">
        <v>0</v>
      </c>
      <c r="O18" s="27">
        <v>0</v>
      </c>
    </row>
    <row r="19" spans="1:30">
      <c r="A19" s="72" t="s">
        <v>159</v>
      </c>
      <c r="B19" s="72">
        <v>2</v>
      </c>
      <c r="C19" s="72" t="s">
        <v>157</v>
      </c>
      <c r="D19" s="72" t="s">
        <v>26</v>
      </c>
      <c r="E19" s="27">
        <v>4</v>
      </c>
      <c r="F19" s="27">
        <f t="shared" si="4"/>
        <v>4</v>
      </c>
      <c r="G19" s="27">
        <v>4</v>
      </c>
      <c r="H19" s="27">
        <v>4</v>
      </c>
      <c r="I19" s="27">
        <v>4</v>
      </c>
      <c r="J19" s="27">
        <v>4</v>
      </c>
      <c r="K19" s="27">
        <v>4</v>
      </c>
      <c r="L19" s="27">
        <v>1</v>
      </c>
      <c r="M19" s="27">
        <v>0</v>
      </c>
      <c r="N19" s="27">
        <v>0</v>
      </c>
      <c r="O19" s="27">
        <v>0</v>
      </c>
      <c r="AC19" s="27" t="str">
        <f t="shared" ref="AC19:AD38" si="5">IF(OR(AC$14="",$E19=""),"",AB19)</f>
        <v/>
      </c>
      <c r="AD19" s="27" t="str">
        <f t="shared" si="5"/>
        <v/>
      </c>
    </row>
    <row r="20" spans="1:30">
      <c r="A20" s="72" t="s">
        <v>160</v>
      </c>
      <c r="B20" s="72">
        <v>3</v>
      </c>
      <c r="C20" s="72" t="s">
        <v>161</v>
      </c>
      <c r="D20" s="72" t="s">
        <v>26</v>
      </c>
      <c r="E20" s="27">
        <v>0.5</v>
      </c>
      <c r="F20" s="27">
        <f t="shared" si="4"/>
        <v>0.5</v>
      </c>
      <c r="G20" s="27">
        <v>0</v>
      </c>
      <c r="H20" s="27">
        <v>0</v>
      </c>
      <c r="I20" s="27">
        <v>0</v>
      </c>
      <c r="J20" s="27">
        <v>0</v>
      </c>
      <c r="K20" s="27">
        <v>0</v>
      </c>
      <c r="L20" s="27">
        <v>0</v>
      </c>
      <c r="M20" s="27">
        <v>0</v>
      </c>
      <c r="N20" s="27">
        <v>0</v>
      </c>
      <c r="O20" s="27">
        <v>0</v>
      </c>
      <c r="AC20" s="27" t="str">
        <f t="shared" si="5"/>
        <v/>
      </c>
      <c r="AD20" s="27" t="str">
        <f t="shared" si="5"/>
        <v/>
      </c>
    </row>
    <row r="21" spans="1:30">
      <c r="A21" s="72" t="s">
        <v>162</v>
      </c>
      <c r="B21" s="72">
        <v>3</v>
      </c>
      <c r="C21" s="72" t="s">
        <v>161</v>
      </c>
      <c r="D21" s="72" t="s">
        <v>26</v>
      </c>
      <c r="E21" s="27">
        <v>0.5</v>
      </c>
      <c r="F21" s="27">
        <f t="shared" si="4"/>
        <v>0.5</v>
      </c>
      <c r="G21" s="27">
        <v>0</v>
      </c>
      <c r="H21" s="27">
        <v>0</v>
      </c>
      <c r="I21" s="27">
        <v>0</v>
      </c>
      <c r="J21" s="27">
        <v>0</v>
      </c>
      <c r="K21" s="27">
        <v>0</v>
      </c>
      <c r="L21" s="27">
        <v>0</v>
      </c>
      <c r="M21" s="27">
        <v>0</v>
      </c>
      <c r="N21" s="27">
        <v>0</v>
      </c>
      <c r="O21" s="27">
        <v>0</v>
      </c>
      <c r="AC21" s="27" t="str">
        <f t="shared" si="5"/>
        <v/>
      </c>
      <c r="AD21" s="27" t="str">
        <f t="shared" si="5"/>
        <v/>
      </c>
    </row>
    <row r="22" spans="1:30">
      <c r="A22" s="72" t="s">
        <v>163</v>
      </c>
      <c r="B22" s="72">
        <v>3</v>
      </c>
      <c r="C22" s="72" t="s">
        <v>161</v>
      </c>
      <c r="D22" s="72" t="s">
        <v>26</v>
      </c>
      <c r="E22" s="27">
        <v>0.5</v>
      </c>
      <c r="F22" s="27">
        <f t="shared" si="4"/>
        <v>0.5</v>
      </c>
      <c r="G22" s="27">
        <v>0</v>
      </c>
      <c r="H22" s="27">
        <v>0</v>
      </c>
      <c r="I22" s="27">
        <v>0</v>
      </c>
      <c r="J22" s="27">
        <v>0</v>
      </c>
      <c r="K22" s="27">
        <v>0</v>
      </c>
      <c r="L22" s="27">
        <v>0</v>
      </c>
      <c r="M22" s="27">
        <v>0</v>
      </c>
      <c r="N22" s="27">
        <v>0</v>
      </c>
      <c r="O22" s="27">
        <v>0</v>
      </c>
      <c r="AC22" s="27" t="str">
        <f t="shared" si="5"/>
        <v/>
      </c>
      <c r="AD22" s="27" t="str">
        <f t="shared" si="5"/>
        <v/>
      </c>
    </row>
    <row r="23" spans="1:30" ht="15" customHeight="1">
      <c r="A23" s="72" t="s">
        <v>164</v>
      </c>
      <c r="B23" s="72">
        <v>3</v>
      </c>
      <c r="C23" s="72" t="s">
        <v>161</v>
      </c>
      <c r="D23" s="72" t="s">
        <v>26</v>
      </c>
      <c r="E23" s="27">
        <v>0.5</v>
      </c>
      <c r="F23" s="27">
        <f t="shared" si="4"/>
        <v>0.5</v>
      </c>
      <c r="G23" s="27">
        <v>0</v>
      </c>
      <c r="H23" s="27">
        <v>0</v>
      </c>
      <c r="I23" s="27">
        <v>0</v>
      </c>
      <c r="J23" s="27">
        <v>0</v>
      </c>
      <c r="K23" s="27">
        <v>0</v>
      </c>
      <c r="L23" s="27">
        <v>0</v>
      </c>
      <c r="M23" s="27">
        <v>0</v>
      </c>
      <c r="N23" s="27">
        <v>0</v>
      </c>
      <c r="O23" s="27">
        <v>0</v>
      </c>
      <c r="AC23" s="27" t="str">
        <f t="shared" si="5"/>
        <v/>
      </c>
      <c r="AD23" s="27" t="str">
        <f t="shared" si="5"/>
        <v/>
      </c>
    </row>
    <row r="24" spans="1:30">
      <c r="A24" s="72" t="s">
        <v>165</v>
      </c>
      <c r="B24" s="72">
        <v>8</v>
      </c>
      <c r="C24" s="72" t="s">
        <v>166</v>
      </c>
      <c r="D24" s="72" t="s">
        <v>26</v>
      </c>
      <c r="E24" s="27">
        <v>3</v>
      </c>
      <c r="F24" s="27">
        <f t="shared" si="4"/>
        <v>3</v>
      </c>
      <c r="G24" s="27">
        <v>3</v>
      </c>
      <c r="H24" s="27">
        <v>3</v>
      </c>
      <c r="I24" s="27">
        <v>3</v>
      </c>
      <c r="J24" s="27">
        <v>0</v>
      </c>
      <c r="K24" s="27">
        <v>0</v>
      </c>
      <c r="L24" s="27">
        <v>0</v>
      </c>
      <c r="M24" s="27">
        <v>0</v>
      </c>
      <c r="N24" s="27">
        <v>0</v>
      </c>
      <c r="O24" s="27">
        <v>0</v>
      </c>
      <c r="AC24" s="27" t="str">
        <f t="shared" si="5"/>
        <v/>
      </c>
      <c r="AD24" s="27" t="str">
        <f t="shared" si="5"/>
        <v/>
      </c>
    </row>
    <row r="25" spans="1:30">
      <c r="A25" s="72" t="s">
        <v>167</v>
      </c>
      <c r="B25" s="72">
        <v>8</v>
      </c>
      <c r="C25" s="72" t="s">
        <v>166</v>
      </c>
      <c r="D25" s="72" t="s">
        <v>26</v>
      </c>
      <c r="E25" s="27">
        <v>1</v>
      </c>
      <c r="F25" s="27">
        <f t="shared" si="4"/>
        <v>1</v>
      </c>
      <c r="G25" s="27">
        <v>1</v>
      </c>
      <c r="H25" s="27">
        <v>1</v>
      </c>
      <c r="I25" s="27">
        <v>1</v>
      </c>
      <c r="J25" s="27">
        <v>1</v>
      </c>
      <c r="K25" s="27">
        <v>0</v>
      </c>
      <c r="L25" s="27">
        <v>0</v>
      </c>
      <c r="M25" s="27">
        <v>0</v>
      </c>
      <c r="N25" s="27">
        <v>0</v>
      </c>
      <c r="O25" s="27">
        <v>0</v>
      </c>
      <c r="AC25" s="27" t="str">
        <f t="shared" si="5"/>
        <v/>
      </c>
      <c r="AD25" s="27" t="str">
        <f t="shared" si="5"/>
        <v/>
      </c>
    </row>
    <row r="26" spans="1:30">
      <c r="A26" s="72" t="s">
        <v>168</v>
      </c>
      <c r="B26" s="72">
        <v>8</v>
      </c>
      <c r="C26" s="72" t="s">
        <v>166</v>
      </c>
      <c r="D26" s="72" t="s">
        <v>26</v>
      </c>
      <c r="E26" s="27">
        <v>1</v>
      </c>
      <c r="F26" s="27">
        <f t="shared" si="4"/>
        <v>1</v>
      </c>
      <c r="G26" s="27">
        <v>1</v>
      </c>
      <c r="H26" s="27">
        <v>1</v>
      </c>
      <c r="I26" s="27">
        <v>1</v>
      </c>
      <c r="J26" s="27">
        <v>1</v>
      </c>
      <c r="K26" s="27">
        <v>1</v>
      </c>
      <c r="L26" s="27">
        <v>0</v>
      </c>
      <c r="M26" s="27">
        <v>0</v>
      </c>
      <c r="N26" s="27">
        <v>0</v>
      </c>
      <c r="O26" s="27">
        <v>0</v>
      </c>
      <c r="AC26" s="27" t="str">
        <f t="shared" si="5"/>
        <v/>
      </c>
      <c r="AD26" s="27" t="str">
        <f t="shared" si="5"/>
        <v/>
      </c>
    </row>
    <row r="27" spans="1:30">
      <c r="A27" s="72" t="s">
        <v>169</v>
      </c>
      <c r="B27" s="72">
        <v>8</v>
      </c>
      <c r="C27" s="72" t="s">
        <v>166</v>
      </c>
      <c r="D27" s="72" t="s">
        <v>26</v>
      </c>
      <c r="E27" s="27">
        <v>1</v>
      </c>
      <c r="F27" s="27">
        <f t="shared" si="4"/>
        <v>1</v>
      </c>
      <c r="G27" s="27">
        <v>1</v>
      </c>
      <c r="H27" s="27">
        <v>1</v>
      </c>
      <c r="I27" s="27">
        <v>1</v>
      </c>
      <c r="J27" s="27">
        <v>1</v>
      </c>
      <c r="K27" s="27">
        <v>1</v>
      </c>
      <c r="L27" s="27">
        <v>0</v>
      </c>
      <c r="M27" s="27">
        <v>0</v>
      </c>
      <c r="N27" s="27">
        <v>0</v>
      </c>
      <c r="O27" s="27">
        <v>0</v>
      </c>
      <c r="AC27" s="27" t="str">
        <f t="shared" si="5"/>
        <v/>
      </c>
      <c r="AD27" s="27" t="str">
        <f t="shared" si="5"/>
        <v/>
      </c>
    </row>
    <row r="28" spans="1:30">
      <c r="A28" s="72" t="s">
        <v>170</v>
      </c>
      <c r="B28" s="72">
        <v>8</v>
      </c>
      <c r="C28" s="72" t="s">
        <v>171</v>
      </c>
      <c r="D28" s="72" t="s">
        <v>26</v>
      </c>
      <c r="E28" s="27">
        <v>4</v>
      </c>
      <c r="F28" s="27">
        <f t="shared" si="4"/>
        <v>4</v>
      </c>
      <c r="G28" s="27">
        <v>4</v>
      </c>
      <c r="H28" s="27">
        <v>4</v>
      </c>
      <c r="I28" s="27">
        <v>4</v>
      </c>
      <c r="J28" s="27">
        <v>2</v>
      </c>
      <c r="K28" s="27">
        <v>0</v>
      </c>
      <c r="L28" s="27">
        <v>0</v>
      </c>
      <c r="M28" s="27">
        <v>0</v>
      </c>
      <c r="N28" s="27">
        <v>0</v>
      </c>
      <c r="O28" s="27">
        <v>0</v>
      </c>
      <c r="AC28" s="27" t="str">
        <f t="shared" si="5"/>
        <v/>
      </c>
      <c r="AD28" s="27" t="str">
        <f t="shared" si="5"/>
        <v/>
      </c>
    </row>
    <row r="29" spans="1:30">
      <c r="A29" s="72" t="s">
        <v>172</v>
      </c>
      <c r="B29" s="72">
        <v>8</v>
      </c>
      <c r="C29" s="72" t="s">
        <v>171</v>
      </c>
      <c r="D29" s="72" t="s">
        <v>26</v>
      </c>
      <c r="E29" s="27">
        <v>4</v>
      </c>
      <c r="F29" s="27">
        <f t="shared" si="4"/>
        <v>4</v>
      </c>
      <c r="G29" s="27">
        <v>4</v>
      </c>
      <c r="H29" s="27">
        <v>4</v>
      </c>
      <c r="I29" s="27">
        <v>4</v>
      </c>
      <c r="J29" s="27">
        <v>2</v>
      </c>
      <c r="K29" s="27">
        <v>0</v>
      </c>
      <c r="L29" s="27">
        <v>0</v>
      </c>
      <c r="M29" s="27">
        <v>0</v>
      </c>
      <c r="N29" s="27">
        <v>0</v>
      </c>
      <c r="O29" s="27">
        <v>0</v>
      </c>
      <c r="AC29" s="27" t="str">
        <f t="shared" si="5"/>
        <v/>
      </c>
      <c r="AD29" s="27" t="str">
        <f t="shared" si="5"/>
        <v/>
      </c>
    </row>
    <row r="30" spans="1:30">
      <c r="A30" s="72" t="s">
        <v>173</v>
      </c>
      <c r="B30" s="72">
        <v>11</v>
      </c>
      <c r="C30" s="72" t="s">
        <v>161</v>
      </c>
      <c r="D30" s="72" t="s">
        <v>26</v>
      </c>
      <c r="E30" s="27">
        <v>3</v>
      </c>
      <c r="F30" s="27">
        <f t="shared" si="4"/>
        <v>3</v>
      </c>
      <c r="G30" s="27">
        <v>3</v>
      </c>
      <c r="H30" s="27">
        <v>3</v>
      </c>
      <c r="I30" s="27">
        <v>3</v>
      </c>
      <c r="J30" s="27">
        <v>3</v>
      </c>
      <c r="K30" s="27">
        <v>3</v>
      </c>
      <c r="L30" s="27">
        <v>3</v>
      </c>
      <c r="M30" s="27">
        <v>2</v>
      </c>
      <c r="N30" s="27">
        <v>0</v>
      </c>
      <c r="O30" s="27">
        <v>0</v>
      </c>
      <c r="AC30" s="27" t="str">
        <f t="shared" si="5"/>
        <v/>
      </c>
      <c r="AD30" s="27" t="str">
        <f t="shared" si="5"/>
        <v/>
      </c>
    </row>
    <row r="31" spans="1:30">
      <c r="A31" s="72" t="s">
        <v>174</v>
      </c>
      <c r="B31" s="72">
        <v>21</v>
      </c>
      <c r="C31" s="72" t="s">
        <v>161</v>
      </c>
      <c r="D31" s="72" t="s">
        <v>26</v>
      </c>
      <c r="E31" s="27">
        <v>0.5</v>
      </c>
      <c r="F31" s="27">
        <f t="shared" si="4"/>
        <v>0.5</v>
      </c>
      <c r="G31" s="27">
        <v>0</v>
      </c>
      <c r="H31" s="27">
        <v>0</v>
      </c>
      <c r="I31" s="27">
        <v>0</v>
      </c>
      <c r="J31" s="27">
        <v>0</v>
      </c>
      <c r="K31" s="27">
        <v>0</v>
      </c>
      <c r="L31" s="27">
        <v>0</v>
      </c>
      <c r="M31" s="27">
        <v>0</v>
      </c>
      <c r="N31" s="27">
        <v>0</v>
      </c>
      <c r="O31" s="27">
        <v>0</v>
      </c>
      <c r="AC31" s="27" t="str">
        <f t="shared" si="5"/>
        <v/>
      </c>
      <c r="AD31" s="27" t="str">
        <f t="shared" si="5"/>
        <v/>
      </c>
    </row>
    <row r="32" spans="1:30">
      <c r="A32" s="72" t="s">
        <v>175</v>
      </c>
      <c r="B32" s="72">
        <v>21</v>
      </c>
      <c r="C32" s="72" t="s">
        <v>161</v>
      </c>
      <c r="D32" s="72" t="s">
        <v>26</v>
      </c>
      <c r="E32" s="27">
        <v>0.5</v>
      </c>
      <c r="F32" s="27">
        <f t="shared" si="4"/>
        <v>0.5</v>
      </c>
      <c r="G32" s="27">
        <v>0</v>
      </c>
      <c r="H32" s="27">
        <v>0</v>
      </c>
      <c r="I32" s="27">
        <v>0</v>
      </c>
      <c r="J32" s="27">
        <v>0</v>
      </c>
      <c r="K32" s="27">
        <v>0</v>
      </c>
      <c r="L32" s="27">
        <v>0</v>
      </c>
      <c r="M32" s="27">
        <v>0</v>
      </c>
      <c r="N32" s="27">
        <v>0</v>
      </c>
      <c r="O32" s="27">
        <v>0</v>
      </c>
      <c r="AC32" s="27" t="str">
        <f t="shared" si="5"/>
        <v/>
      </c>
      <c r="AD32" s="27" t="str">
        <f t="shared" si="5"/>
        <v/>
      </c>
    </row>
    <row r="33" spans="1:30">
      <c r="A33" s="72" t="s">
        <v>176</v>
      </c>
      <c r="B33" s="72">
        <v>21</v>
      </c>
      <c r="C33" s="72" t="s">
        <v>161</v>
      </c>
      <c r="D33" s="72" t="s">
        <v>26</v>
      </c>
      <c r="E33" s="27">
        <v>0.5</v>
      </c>
      <c r="F33" s="27">
        <f t="shared" si="4"/>
        <v>0.5</v>
      </c>
      <c r="G33" s="27">
        <v>0</v>
      </c>
      <c r="H33" s="27">
        <v>0</v>
      </c>
      <c r="I33" s="27">
        <v>0</v>
      </c>
      <c r="J33" s="27">
        <v>0</v>
      </c>
      <c r="K33" s="27">
        <v>0</v>
      </c>
      <c r="L33" s="27">
        <v>0</v>
      </c>
      <c r="M33" s="27">
        <v>0</v>
      </c>
      <c r="N33" s="27">
        <v>0</v>
      </c>
      <c r="O33" s="27">
        <v>0</v>
      </c>
      <c r="AC33" s="27" t="str">
        <f t="shared" si="5"/>
        <v/>
      </c>
      <c r="AD33" s="27" t="str">
        <f t="shared" si="5"/>
        <v/>
      </c>
    </row>
    <row r="34" spans="1:30">
      <c r="A34" s="72" t="s">
        <v>177</v>
      </c>
      <c r="B34" s="72">
        <v>23</v>
      </c>
      <c r="C34" s="72" t="s">
        <v>166</v>
      </c>
      <c r="D34" s="72" t="s">
        <v>26</v>
      </c>
      <c r="E34" s="27">
        <v>6</v>
      </c>
      <c r="F34" s="27">
        <f t="shared" si="4"/>
        <v>6</v>
      </c>
      <c r="G34" s="27">
        <v>6</v>
      </c>
      <c r="H34" s="27">
        <v>6</v>
      </c>
      <c r="I34" s="27">
        <v>6</v>
      </c>
      <c r="J34" s="27">
        <v>6</v>
      </c>
      <c r="K34" s="27">
        <v>6</v>
      </c>
      <c r="L34" s="27">
        <v>3</v>
      </c>
      <c r="M34" s="27">
        <v>0</v>
      </c>
      <c r="N34" s="27">
        <v>0</v>
      </c>
      <c r="O34" s="27">
        <v>0</v>
      </c>
      <c r="AC34" s="27" t="str">
        <f t="shared" si="5"/>
        <v/>
      </c>
      <c r="AD34" s="27" t="str">
        <f t="shared" si="5"/>
        <v/>
      </c>
    </row>
    <row r="35" spans="1:30">
      <c r="A35" s="25"/>
      <c r="C35"/>
      <c r="D35" s="28" t="str">
        <f t="shared" ref="D35:D57" si="6">IF(A35&lt;&gt;"","Planned","")</f>
        <v/>
      </c>
      <c r="F35" s="27" t="str">
        <f t="shared" si="4"/>
        <v/>
      </c>
      <c r="AC35" s="27" t="str">
        <f t="shared" si="5"/>
        <v/>
      </c>
      <c r="AD35" s="27" t="str">
        <f t="shared" si="5"/>
        <v/>
      </c>
    </row>
    <row r="36" spans="1:30">
      <c r="C36"/>
      <c r="D36" s="28" t="str">
        <f t="shared" si="6"/>
        <v/>
      </c>
      <c r="F36" s="27" t="str">
        <f t="shared" si="4"/>
        <v/>
      </c>
      <c r="AC36" s="27" t="str">
        <f t="shared" si="5"/>
        <v/>
      </c>
      <c r="AD36" s="27" t="str">
        <f t="shared" si="5"/>
        <v/>
      </c>
    </row>
    <row r="37" spans="1:30">
      <c r="C37"/>
      <c r="D37" s="28" t="str">
        <f t="shared" si="6"/>
        <v/>
      </c>
      <c r="F37" s="27" t="str">
        <f t="shared" si="4"/>
        <v/>
      </c>
      <c r="AC37" s="27" t="str">
        <f t="shared" si="5"/>
        <v/>
      </c>
      <c r="AD37" s="27" t="str">
        <f t="shared" si="5"/>
        <v/>
      </c>
    </row>
    <row r="38" spans="1:30">
      <c r="C38"/>
      <c r="D38" s="28" t="str">
        <f t="shared" si="6"/>
        <v/>
      </c>
      <c r="F38" s="27" t="str">
        <f t="shared" si="4"/>
        <v/>
      </c>
      <c r="AC38" s="27" t="str">
        <f t="shared" si="5"/>
        <v/>
      </c>
      <c r="AD38" s="27" t="str">
        <f t="shared" si="5"/>
        <v/>
      </c>
    </row>
    <row r="39" spans="1:30">
      <c r="C39"/>
      <c r="D39" s="28" t="str">
        <f t="shared" si="6"/>
        <v/>
      </c>
      <c r="F39" s="27" t="str">
        <f t="shared" si="4"/>
        <v/>
      </c>
      <c r="AC39" s="27" t="str">
        <f t="shared" ref="AC39:AD57" si="7">IF(OR(AC$14="",$E39=""),"",AB39)</f>
        <v/>
      </c>
      <c r="AD39" s="27" t="str">
        <f t="shared" si="7"/>
        <v/>
      </c>
    </row>
    <row r="40" spans="1:30">
      <c r="C40"/>
      <c r="D40" s="28" t="str">
        <f t="shared" si="6"/>
        <v/>
      </c>
      <c r="F40" s="27" t="str">
        <f t="shared" si="4"/>
        <v/>
      </c>
      <c r="AC40" s="27" t="str">
        <f t="shared" si="7"/>
        <v/>
      </c>
      <c r="AD40" s="27" t="str">
        <f t="shared" si="7"/>
        <v/>
      </c>
    </row>
    <row r="41" spans="1:30">
      <c r="C41"/>
      <c r="D41" s="28" t="str">
        <f t="shared" si="6"/>
        <v/>
      </c>
      <c r="F41" s="27" t="str">
        <f t="shared" si="4"/>
        <v/>
      </c>
      <c r="AC41" s="27" t="str">
        <f t="shared" si="7"/>
        <v/>
      </c>
      <c r="AD41" s="27" t="str">
        <f t="shared" si="7"/>
        <v/>
      </c>
    </row>
    <row r="42" spans="1:30">
      <c r="C42"/>
      <c r="D42" s="28" t="str">
        <f t="shared" si="6"/>
        <v/>
      </c>
      <c r="F42" s="27" t="str">
        <f t="shared" si="4"/>
        <v/>
      </c>
      <c r="AC42" s="27" t="str">
        <f t="shared" si="7"/>
        <v/>
      </c>
      <c r="AD42" s="27" t="str">
        <f t="shared" si="7"/>
        <v/>
      </c>
    </row>
    <row r="43" spans="1:30">
      <c r="C43"/>
      <c r="D43" s="28" t="str">
        <f t="shared" si="6"/>
        <v/>
      </c>
      <c r="F43" s="27" t="str">
        <f t="shared" si="4"/>
        <v/>
      </c>
      <c r="AC43" s="27" t="str">
        <f t="shared" si="7"/>
        <v/>
      </c>
      <c r="AD43" s="27" t="str">
        <f t="shared" si="7"/>
        <v/>
      </c>
    </row>
    <row r="44" spans="1:30">
      <c r="C44"/>
      <c r="D44" s="28" t="str">
        <f t="shared" si="6"/>
        <v/>
      </c>
      <c r="F44" s="27" t="str">
        <f t="shared" si="4"/>
        <v/>
      </c>
      <c r="AC44" s="27" t="str">
        <f t="shared" si="7"/>
        <v/>
      </c>
      <c r="AD44" s="27" t="str">
        <f t="shared" si="7"/>
        <v/>
      </c>
    </row>
    <row r="45" spans="1:30">
      <c r="C45"/>
      <c r="D45" s="28" t="str">
        <f t="shared" si="6"/>
        <v/>
      </c>
      <c r="F45" s="27" t="str">
        <f t="shared" si="4"/>
        <v/>
      </c>
      <c r="AC45" s="27" t="str">
        <f t="shared" si="7"/>
        <v/>
      </c>
      <c r="AD45" s="27" t="str">
        <f t="shared" si="7"/>
        <v/>
      </c>
    </row>
    <row r="46" spans="1:30">
      <c r="C46"/>
      <c r="D46" s="28" t="str">
        <f t="shared" si="6"/>
        <v/>
      </c>
      <c r="F46" s="27" t="str">
        <f t="shared" si="4"/>
        <v/>
      </c>
      <c r="AC46" s="27" t="str">
        <f t="shared" si="7"/>
        <v/>
      </c>
      <c r="AD46" s="27" t="str">
        <f t="shared" si="7"/>
        <v/>
      </c>
    </row>
    <row r="47" spans="1:30">
      <c r="C47"/>
      <c r="D47" s="28" t="str">
        <f t="shared" si="6"/>
        <v/>
      </c>
      <c r="F47" s="27" t="str">
        <f t="shared" si="4"/>
        <v/>
      </c>
      <c r="AC47" s="27" t="str">
        <f t="shared" si="7"/>
        <v/>
      </c>
      <c r="AD47" s="27" t="str">
        <f t="shared" si="7"/>
        <v/>
      </c>
    </row>
    <row r="48" spans="1:30">
      <c r="C48"/>
      <c r="D48" s="28" t="str">
        <f t="shared" si="6"/>
        <v/>
      </c>
      <c r="F48" s="27" t="str">
        <f t="shared" si="4"/>
        <v/>
      </c>
      <c r="AC48" s="27" t="str">
        <f t="shared" si="7"/>
        <v/>
      </c>
      <c r="AD48" s="27" t="str">
        <f t="shared" si="7"/>
        <v/>
      </c>
    </row>
    <row r="49" spans="1:30">
      <c r="C49"/>
      <c r="D49" s="28" t="str">
        <f t="shared" si="6"/>
        <v/>
      </c>
      <c r="F49" s="27" t="str">
        <f t="shared" si="4"/>
        <v/>
      </c>
      <c r="AC49" s="27" t="str">
        <f t="shared" si="7"/>
        <v/>
      </c>
      <c r="AD49" s="27" t="str">
        <f t="shared" si="7"/>
        <v/>
      </c>
    </row>
    <row r="50" spans="1:30">
      <c r="C50"/>
      <c r="D50" s="28" t="str">
        <f t="shared" si="6"/>
        <v/>
      </c>
      <c r="F50" s="27" t="str">
        <f t="shared" si="4"/>
        <v/>
      </c>
      <c r="AC50" s="27" t="str">
        <f t="shared" si="7"/>
        <v/>
      </c>
      <c r="AD50" s="27" t="str">
        <f t="shared" si="7"/>
        <v/>
      </c>
    </row>
    <row r="51" spans="1:30">
      <c r="C51"/>
      <c r="D51" s="28" t="str">
        <f t="shared" si="6"/>
        <v/>
      </c>
      <c r="F51" s="27" t="str">
        <f t="shared" si="4"/>
        <v/>
      </c>
      <c r="AC51" s="27" t="str">
        <f t="shared" si="7"/>
        <v/>
      </c>
      <c r="AD51" s="27" t="str">
        <f t="shared" si="7"/>
        <v/>
      </c>
    </row>
    <row r="52" spans="1:30">
      <c r="C52"/>
      <c r="D52" s="28" t="str">
        <f t="shared" si="6"/>
        <v/>
      </c>
      <c r="F52" s="27" t="str">
        <f t="shared" si="4"/>
        <v/>
      </c>
      <c r="AC52" s="27" t="str">
        <f t="shared" si="7"/>
        <v/>
      </c>
      <c r="AD52" s="27" t="str">
        <f t="shared" si="7"/>
        <v/>
      </c>
    </row>
    <row r="53" spans="1:30">
      <c r="C53"/>
      <c r="D53" s="28" t="str">
        <f t="shared" si="6"/>
        <v/>
      </c>
      <c r="F53" s="27" t="str">
        <f t="shared" si="4"/>
        <v/>
      </c>
      <c r="AC53" s="27" t="str">
        <f t="shared" si="7"/>
        <v/>
      </c>
      <c r="AD53" s="27" t="str">
        <f t="shared" si="7"/>
        <v/>
      </c>
    </row>
    <row r="54" spans="1:30">
      <c r="C54"/>
      <c r="D54" s="28" t="str">
        <f t="shared" si="6"/>
        <v/>
      </c>
      <c r="F54" s="27" t="str">
        <f t="shared" si="4"/>
        <v/>
      </c>
      <c r="AC54" s="27" t="str">
        <f t="shared" si="7"/>
        <v/>
      </c>
      <c r="AD54" s="27" t="str">
        <f t="shared" si="7"/>
        <v/>
      </c>
    </row>
    <row r="55" spans="1:30">
      <c r="C55"/>
      <c r="D55" s="28" t="str">
        <f t="shared" si="6"/>
        <v/>
      </c>
      <c r="F55" s="27" t="str">
        <f t="shared" si="4"/>
        <v/>
      </c>
      <c r="AC55" s="27" t="str">
        <f t="shared" si="7"/>
        <v/>
      </c>
      <c r="AD55" s="27" t="str">
        <f t="shared" si="7"/>
        <v/>
      </c>
    </row>
    <row r="56" spans="1:30">
      <c r="C56"/>
      <c r="D56" s="28" t="str">
        <f t="shared" si="6"/>
        <v/>
      </c>
      <c r="F56" s="27" t="str">
        <f t="shared" si="4"/>
        <v/>
      </c>
      <c r="G56" s="27" t="str">
        <f t="shared" ref="G56:AB56" si="8">IF(OR(G$14="",$E56=""),"",F56)</f>
        <v/>
      </c>
      <c r="H56" s="27" t="str">
        <f t="shared" si="8"/>
        <v/>
      </c>
      <c r="I56" s="27" t="str">
        <f t="shared" si="8"/>
        <v/>
      </c>
      <c r="J56" s="27" t="str">
        <f t="shared" si="8"/>
        <v/>
      </c>
      <c r="K56" s="27" t="str">
        <f t="shared" si="8"/>
        <v/>
      </c>
      <c r="L56" s="27" t="str">
        <f t="shared" si="8"/>
        <v/>
      </c>
      <c r="M56" s="27" t="str">
        <f t="shared" si="8"/>
        <v/>
      </c>
      <c r="N56" s="27" t="str">
        <f t="shared" si="8"/>
        <v/>
      </c>
      <c r="O56" s="27" t="str">
        <f t="shared" si="8"/>
        <v/>
      </c>
      <c r="P56" s="27" t="str">
        <f t="shared" si="8"/>
        <v/>
      </c>
      <c r="Q56" s="27" t="str">
        <f t="shared" si="8"/>
        <v/>
      </c>
      <c r="R56" s="27" t="str">
        <f t="shared" si="8"/>
        <v/>
      </c>
      <c r="S56" s="27" t="str">
        <f t="shared" si="8"/>
        <v/>
      </c>
      <c r="T56" s="27" t="str">
        <f t="shared" si="8"/>
        <v/>
      </c>
      <c r="U56" s="27" t="str">
        <f t="shared" si="8"/>
        <v/>
      </c>
      <c r="V56" s="27" t="str">
        <f t="shared" si="8"/>
        <v/>
      </c>
      <c r="W56" s="27" t="str">
        <f t="shared" si="8"/>
        <v/>
      </c>
      <c r="X56" s="27" t="str">
        <f t="shared" si="8"/>
        <v/>
      </c>
      <c r="Y56" s="27" t="str">
        <f t="shared" si="8"/>
        <v/>
      </c>
      <c r="Z56" s="27" t="str">
        <f t="shared" si="8"/>
        <v/>
      </c>
      <c r="AA56" s="27" t="str">
        <f t="shared" si="8"/>
        <v/>
      </c>
      <c r="AB56" s="27" t="str">
        <f t="shared" si="8"/>
        <v/>
      </c>
      <c r="AC56" s="27" t="str">
        <f t="shared" si="7"/>
        <v/>
      </c>
      <c r="AD56" s="27" t="str">
        <f t="shared" si="7"/>
        <v/>
      </c>
    </row>
    <row r="57" spans="1:30">
      <c r="C57"/>
      <c r="D57" s="28" t="str">
        <f t="shared" si="6"/>
        <v/>
      </c>
      <c r="F57" s="27" t="str">
        <f t="shared" si="4"/>
        <v/>
      </c>
      <c r="G57" s="27" t="str">
        <f t="shared" ref="G57:AB57" si="9">IF(OR(G$14="",$E57=""),"",F57)</f>
        <v/>
      </c>
      <c r="H57" s="27" t="str">
        <f t="shared" si="9"/>
        <v/>
      </c>
      <c r="I57" s="27" t="str">
        <f t="shared" si="9"/>
        <v/>
      </c>
      <c r="J57" s="27" t="str">
        <f t="shared" si="9"/>
        <v/>
      </c>
      <c r="K57" s="27" t="str">
        <f t="shared" si="9"/>
        <v/>
      </c>
      <c r="L57" s="27" t="str">
        <f t="shared" si="9"/>
        <v/>
      </c>
      <c r="M57" s="27" t="str">
        <f t="shared" si="9"/>
        <v/>
      </c>
      <c r="N57" s="27" t="str">
        <f t="shared" si="9"/>
        <v/>
      </c>
      <c r="O57" s="27" t="str">
        <f t="shared" si="9"/>
        <v/>
      </c>
      <c r="P57" s="27" t="str">
        <f t="shared" si="9"/>
        <v/>
      </c>
      <c r="Q57" s="27" t="str">
        <f t="shared" si="9"/>
        <v/>
      </c>
      <c r="R57" s="27" t="str">
        <f t="shared" si="9"/>
        <v/>
      </c>
      <c r="S57" s="27" t="str">
        <f t="shared" si="9"/>
        <v/>
      </c>
      <c r="T57" s="27" t="str">
        <f t="shared" si="9"/>
        <v/>
      </c>
      <c r="U57" s="27" t="str">
        <f t="shared" si="9"/>
        <v/>
      </c>
      <c r="V57" s="27" t="str">
        <f t="shared" si="9"/>
        <v/>
      </c>
      <c r="W57" s="27" t="str">
        <f t="shared" si="9"/>
        <v/>
      </c>
      <c r="X57" s="27" t="str">
        <f t="shared" si="9"/>
        <v/>
      </c>
      <c r="Y57" s="27" t="str">
        <f t="shared" si="9"/>
        <v/>
      </c>
      <c r="Z57" s="27" t="str">
        <f t="shared" si="9"/>
        <v/>
      </c>
      <c r="AA57" s="27" t="str">
        <f t="shared" si="9"/>
        <v/>
      </c>
      <c r="AB57" s="27" t="str">
        <f t="shared" si="9"/>
        <v/>
      </c>
      <c r="AC57" s="27" t="str">
        <f t="shared" si="7"/>
        <v/>
      </c>
      <c r="AD57" s="27" t="str">
        <f t="shared" si="7"/>
        <v/>
      </c>
    </row>
    <row r="58" spans="1:30">
      <c r="A58" s="25"/>
      <c r="C58"/>
    </row>
    <row r="59" spans="1:30">
      <c r="A59" s="25"/>
      <c r="C59"/>
      <c r="AC59" s="27" t="str">
        <f t="shared" ref="AC59:AD63" si="10">IF(OR(AC$14="",$E59=""),"",AB59)</f>
        <v/>
      </c>
      <c r="AD59" s="27" t="str">
        <f t="shared" si="10"/>
        <v/>
      </c>
    </row>
    <row r="60" spans="1:30">
      <c r="A60" s="25"/>
      <c r="C60"/>
      <c r="AC60" s="27" t="str">
        <f t="shared" si="10"/>
        <v/>
      </c>
      <c r="AD60" s="27" t="str">
        <f t="shared" si="10"/>
        <v/>
      </c>
    </row>
    <row r="61" spans="1:30">
      <c r="A61" s="25"/>
      <c r="C61"/>
      <c r="AC61" s="27" t="str">
        <f t="shared" si="10"/>
        <v/>
      </c>
      <c r="AD61" s="27" t="str">
        <f t="shared" si="10"/>
        <v/>
      </c>
    </row>
    <row r="62" spans="1:30">
      <c r="A62" s="25"/>
      <c r="C62"/>
      <c r="AC62" s="27" t="str">
        <f t="shared" si="10"/>
        <v/>
      </c>
      <c r="AD62" s="27" t="str">
        <f t="shared" si="10"/>
        <v/>
      </c>
    </row>
    <row r="63" spans="1:30">
      <c r="A63" s="25"/>
      <c r="C63"/>
      <c r="AC63" s="27" t="str">
        <f t="shared" si="10"/>
        <v/>
      </c>
      <c r="AD63" s="27" t="str">
        <f t="shared" si="10"/>
        <v/>
      </c>
    </row>
    <row r="64" spans="1:30">
      <c r="C64"/>
      <c r="D64" s="28" t="str">
        <f>IF(A64&lt;&gt;"","Planned","")</f>
        <v/>
      </c>
    </row>
    <row r="65" spans="3:3">
      <c r="C65"/>
    </row>
    <row r="66" spans="3:3">
      <c r="C66"/>
    </row>
    <row r="67" spans="3:3">
      <c r="C67"/>
    </row>
    <row r="68" spans="3:3">
      <c r="C68"/>
    </row>
    <row r="69" spans="3:3">
      <c r="C69"/>
    </row>
    <row r="70" spans="3:3">
      <c r="C70"/>
    </row>
    <row r="71" spans="3:3">
      <c r="C71"/>
    </row>
    <row r="72" spans="3:3">
      <c r="C72"/>
    </row>
    <row r="73" spans="3:3">
      <c r="C73"/>
    </row>
    <row r="74" spans="3:3">
      <c r="C74"/>
    </row>
    <row r="75" spans="3:3">
      <c r="C75"/>
    </row>
    <row r="76" spans="3:3">
      <c r="C76"/>
    </row>
    <row r="77" spans="3:3">
      <c r="C77"/>
    </row>
    <row r="78" spans="3:3">
      <c r="C78"/>
    </row>
    <row r="79" spans="3:3">
      <c r="C79"/>
    </row>
    <row r="80" spans="3:3">
      <c r="C80"/>
    </row>
    <row r="81" spans="3:3">
      <c r="C81"/>
    </row>
    <row r="82" spans="3:3">
      <c r="C82"/>
    </row>
    <row r="83" spans="3:3">
      <c r="C83"/>
    </row>
    <row r="84" spans="3:3">
      <c r="C84"/>
    </row>
    <row r="85" spans="3:3">
      <c r="C85"/>
    </row>
    <row r="86" spans="3:3">
      <c r="C86"/>
    </row>
    <row r="87" spans="3:3">
      <c r="C87"/>
    </row>
  </sheetData>
  <phoneticPr fontId="2" type="noConversion"/>
  <conditionalFormatting sqref="A35:AD58 E15:AD34">
    <cfRule type="expression" dxfId="7" priority="1" stopIfTrue="1">
      <formula>$D15="Done"</formula>
    </cfRule>
    <cfRule type="expression" dxfId="6" priority="2" stopIfTrue="1">
      <formula>$D15="Ongoing"</formula>
    </cfRule>
  </conditionalFormatting>
  <dataValidations count="1">
    <dataValidation type="list" allowBlank="1" showInputMessage="1" sqref="D3:D8 D35:D64" xr:uid="{00000000-0002-0000-0300-000000000000}">
      <formula1>"Planned,Ongoing,Done"</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11" r:id="rId3" name="Button 3">
              <controlPr defaultSize="0" print="0" autoFill="0" autoPict="0" macro="[0]!SortSprintTasks">
                <anchor moveWithCells="1" sizeWithCells="1">
                  <from>
                    <xdr:col>0</xdr:col>
                    <xdr:colOff>228600</xdr:colOff>
                    <xdr:row>5</xdr:row>
                    <xdr:rowOff>85725</xdr:rowOff>
                  </from>
                  <to>
                    <xdr:col>0</xdr:col>
                    <xdr:colOff>2009775</xdr:colOff>
                    <xdr:row>7</xdr:row>
                    <xdr:rowOff>28575</xdr:rowOff>
                  </to>
                </anchor>
              </controlPr>
            </control>
          </mc:Choice>
        </mc:AlternateContent>
        <mc:AlternateContent xmlns:mc="http://schemas.openxmlformats.org/markup-compatibility/2006">
          <mc:Choice Requires="x14">
            <control shapeId="17415" r:id="rId4" name="Button 7">
              <controlPr defaultSize="0" print="0" autoFill="0" autoPict="0" macro="[0]!UpdateTaskSlips">
                <anchor moveWithCells="1" sizeWithCells="1">
                  <from>
                    <xdr:col>0</xdr:col>
                    <xdr:colOff>2247900</xdr:colOff>
                    <xdr:row>5</xdr:row>
                    <xdr:rowOff>85725</xdr:rowOff>
                  </from>
                  <to>
                    <xdr:col>2</xdr:col>
                    <xdr:colOff>304800</xdr:colOff>
                    <xdr:row>7</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98"/>
  <sheetViews>
    <sheetView topLeftCell="A10" workbookViewId="0">
      <selection activeCell="A17" sqref="A17"/>
    </sheetView>
  </sheetViews>
  <sheetFormatPr defaultColWidth="11.42578125" defaultRowHeight="12.75"/>
  <cols>
    <col min="1" max="1" width="106" style="28" customWidth="1"/>
    <col min="2" max="2" width="8.42578125" style="27" customWidth="1"/>
    <col min="3" max="3" width="13.7109375" style="28" customWidth="1"/>
    <col min="4" max="4" width="10.85546875" style="28" customWidth="1"/>
    <col min="5" max="5" width="6.42578125" style="27" customWidth="1"/>
    <col min="6" max="30" width="4.42578125" style="27" customWidth="1"/>
    <col min="31" max="16384" width="11.42578125" style="28"/>
  </cols>
  <sheetData>
    <row r="1" spans="1:30" ht="18">
      <c r="A1" s="104">
        <v>1</v>
      </c>
      <c r="B1" s="105"/>
      <c r="E1" s="28"/>
      <c r="F1" s="28"/>
      <c r="G1" s="28"/>
      <c r="H1" s="28"/>
      <c r="I1" s="28"/>
      <c r="J1" s="28"/>
      <c r="K1" s="28"/>
      <c r="L1" s="28"/>
      <c r="M1" s="28"/>
      <c r="N1" s="28"/>
      <c r="O1" s="28"/>
      <c r="P1" s="28"/>
      <c r="Q1" s="28"/>
      <c r="R1" s="28"/>
      <c r="S1" s="28"/>
      <c r="T1" s="28"/>
      <c r="U1" s="28"/>
      <c r="V1" s="28"/>
      <c r="W1" s="28"/>
      <c r="X1" s="28"/>
      <c r="Y1" s="28"/>
      <c r="Z1" s="28"/>
      <c r="AA1" s="28"/>
      <c r="AB1" s="28"/>
      <c r="AC1" s="28"/>
      <c r="AD1" s="28"/>
    </row>
    <row r="2" spans="1:30">
      <c r="E2" s="28"/>
      <c r="F2" s="28"/>
      <c r="G2" s="28"/>
      <c r="H2" s="28"/>
      <c r="I2" s="28"/>
      <c r="J2" s="28"/>
      <c r="K2" s="28"/>
      <c r="L2" s="28"/>
      <c r="M2" s="28"/>
      <c r="N2" s="28"/>
      <c r="O2" s="28"/>
      <c r="P2" s="28"/>
      <c r="Q2" s="28"/>
      <c r="R2" s="28"/>
      <c r="S2" s="28"/>
      <c r="T2" s="28"/>
      <c r="U2" s="28"/>
      <c r="V2" s="28"/>
      <c r="W2" s="28"/>
      <c r="X2" s="28"/>
      <c r="Y2" s="28"/>
      <c r="Z2" s="28"/>
      <c r="AA2" s="28"/>
      <c r="AB2" s="28"/>
      <c r="AC2" s="28"/>
      <c r="AD2" s="28"/>
    </row>
    <row r="9" spans="1:30">
      <c r="A9" s="58" t="s">
        <v>140</v>
      </c>
      <c r="B9" s="27">
        <v>10</v>
      </c>
      <c r="C9" s="58"/>
      <c r="D9" s="59"/>
      <c r="E9" s="58" t="s">
        <v>141</v>
      </c>
      <c r="F9" s="58" t="s">
        <v>142</v>
      </c>
      <c r="G9" s="58"/>
      <c r="H9" s="58"/>
      <c r="I9" s="58"/>
      <c r="J9" s="58"/>
      <c r="K9" s="58"/>
      <c r="L9" s="58"/>
      <c r="M9" s="59"/>
      <c r="N9" s="59"/>
      <c r="O9" s="59"/>
      <c r="P9" s="59"/>
      <c r="Q9" s="59"/>
      <c r="R9" s="59"/>
      <c r="S9" s="59"/>
      <c r="T9" s="59"/>
      <c r="U9" s="59"/>
      <c r="V9" s="59"/>
      <c r="W9" s="59"/>
      <c r="X9" s="59"/>
      <c r="Y9" s="59"/>
      <c r="Z9" s="59"/>
      <c r="AA9" s="59"/>
      <c r="AB9" s="59"/>
      <c r="AC9" s="59"/>
      <c r="AD9" s="59"/>
    </row>
    <row r="10" spans="1:30">
      <c r="A10" s="58" t="s">
        <v>143</v>
      </c>
      <c r="B10" s="27">
        <v>10</v>
      </c>
      <c r="C10" s="58" t="s">
        <v>3</v>
      </c>
      <c r="D10" s="58" t="s">
        <v>144</v>
      </c>
      <c r="E10" s="60">
        <f ca="1">SUM(OFFSET(E14,1,0,TaskRowsSp2,1))</f>
        <v>52</v>
      </c>
      <c r="F10" s="60">
        <f ca="1">IF(AND(SUM(OFFSET(F14,1,0,TaskRowsSp2,1))=0),0,SUM(OFFSET(F14,1,0,TaskRowsSp2,1)))</f>
        <v>49</v>
      </c>
      <c r="G10" s="60">
        <f t="shared" ref="G10:AD10" ca="1" si="0">IF(AND(SUM(OFFSET(G14,1,0,TaskRowsSp2,1))=0),"",SUM(OFFSET(G14,1,0,TaskRowsSp2,1)))</f>
        <v>44</v>
      </c>
      <c r="H10" s="60">
        <f t="shared" ca="1" si="0"/>
        <v>33</v>
      </c>
      <c r="I10" s="60">
        <f t="shared" ca="1" si="0"/>
        <v>29</v>
      </c>
      <c r="J10" s="60">
        <f t="shared" ca="1" si="0"/>
        <v>27</v>
      </c>
      <c r="K10" s="60">
        <f t="shared" ca="1" si="0"/>
        <v>22</v>
      </c>
      <c r="L10" s="60">
        <f t="shared" ca="1" si="0"/>
        <v>4</v>
      </c>
      <c r="M10" s="60">
        <f t="shared" ca="1" si="0"/>
        <v>6</v>
      </c>
      <c r="N10" s="60">
        <f t="shared" ca="1" si="0"/>
        <v>8</v>
      </c>
      <c r="O10" s="60" t="str">
        <f t="shared" ca="1" si="0"/>
        <v/>
      </c>
      <c r="P10" s="60" t="str">
        <f t="shared" ca="1" si="0"/>
        <v/>
      </c>
      <c r="Q10" s="60" t="str">
        <f t="shared" ca="1" si="0"/>
        <v/>
      </c>
      <c r="R10" s="60" t="str">
        <f t="shared" ca="1" si="0"/>
        <v/>
      </c>
      <c r="S10" s="60" t="str">
        <f t="shared" ca="1" si="0"/>
        <v/>
      </c>
      <c r="T10" s="60" t="str">
        <f t="shared" ca="1" si="0"/>
        <v/>
      </c>
      <c r="U10" s="60" t="str">
        <f t="shared" ca="1" si="0"/>
        <v/>
      </c>
      <c r="V10" s="60" t="str">
        <f t="shared" ca="1" si="0"/>
        <v/>
      </c>
      <c r="W10" s="60" t="str">
        <f t="shared" ca="1" si="0"/>
        <v/>
      </c>
      <c r="X10" s="60" t="str">
        <f t="shared" ca="1" si="0"/>
        <v/>
      </c>
      <c r="Y10" s="60" t="str">
        <f t="shared" ca="1" si="0"/>
        <v/>
      </c>
      <c r="Z10" s="60" t="str">
        <f t="shared" ca="1" si="0"/>
        <v/>
      </c>
      <c r="AA10" s="60" t="str">
        <f t="shared" ca="1" si="0"/>
        <v/>
      </c>
      <c r="AB10" s="60" t="str">
        <f t="shared" ca="1" si="0"/>
        <v/>
      </c>
      <c r="AC10" s="60" t="str">
        <f t="shared" ca="1" si="0"/>
        <v/>
      </c>
      <c r="AD10" s="60" t="str">
        <f t="shared" ca="1" si="0"/>
        <v/>
      </c>
    </row>
    <row r="11" spans="1:30" customFormat="1" hidden="1">
      <c r="A11" t="s">
        <v>145</v>
      </c>
      <c r="B11" s="2">
        <f>IF(COUNTA(A15:A253)=0,1,COUNTA(A15:A253))</f>
        <v>20</v>
      </c>
      <c r="C11" t="s">
        <v>146</v>
      </c>
      <c r="D11" s="2">
        <f ca="1">IF(COUNTIF(F10:AD10,"&gt;0")=0,1,COUNTIF(F10:AD10,"&gt;0"))</f>
        <v>9</v>
      </c>
      <c r="E11" s="2"/>
      <c r="F11" s="2">
        <f ca="1">IF(F14="","",$E10-$E10/($B9-1)*(F14-1))</f>
        <v>52</v>
      </c>
      <c r="G11" s="2">
        <f t="shared" ref="G11:AD11" ca="1" si="1">IF(G14="","",TotalEffortSp2-TotalEffortSp2/(ImplementationDaysSp2)*(G14-1))</f>
        <v>46.8</v>
      </c>
      <c r="H11" s="2">
        <f t="shared" ca="1" si="1"/>
        <v>41.6</v>
      </c>
      <c r="I11" s="2">
        <f t="shared" ca="1" si="1"/>
        <v>36.4</v>
      </c>
      <c r="J11" s="2">
        <f t="shared" ca="1" si="1"/>
        <v>31.2</v>
      </c>
      <c r="K11" s="2">
        <f t="shared" ca="1" si="1"/>
        <v>26</v>
      </c>
      <c r="L11" s="2">
        <f t="shared" ca="1" si="1"/>
        <v>20.799999999999997</v>
      </c>
      <c r="M11" s="2">
        <f t="shared" ca="1" si="1"/>
        <v>15.600000000000001</v>
      </c>
      <c r="N11" s="2">
        <f t="shared" ca="1" si="1"/>
        <v>10.399999999999999</v>
      </c>
      <c r="O11" s="2">
        <f t="shared" ca="1" si="1"/>
        <v>5.1999999999999957</v>
      </c>
      <c r="P11" s="2" t="str">
        <f t="shared" ca="1" si="1"/>
        <v/>
      </c>
      <c r="Q11" s="2" t="str">
        <f t="shared" ca="1" si="1"/>
        <v/>
      </c>
      <c r="R11" s="2" t="str">
        <f t="shared" ca="1" si="1"/>
        <v/>
      </c>
      <c r="S11" s="2" t="str">
        <f t="shared" ca="1" si="1"/>
        <v/>
      </c>
      <c r="T11" s="2" t="str">
        <f t="shared" ca="1" si="1"/>
        <v/>
      </c>
      <c r="U11" s="2" t="str">
        <f t="shared" ca="1" si="1"/>
        <v/>
      </c>
      <c r="V11" s="2" t="str">
        <f t="shared" ca="1" si="1"/>
        <v/>
      </c>
      <c r="W11" s="2" t="str">
        <f t="shared" ca="1" si="1"/>
        <v/>
      </c>
      <c r="X11" s="2" t="str">
        <f t="shared" ca="1" si="1"/>
        <v/>
      </c>
      <c r="Y11" s="2" t="str">
        <f t="shared" ca="1" si="1"/>
        <v/>
      </c>
      <c r="Z11" s="2" t="str">
        <f t="shared" ca="1" si="1"/>
        <v/>
      </c>
      <c r="AA11" s="2" t="str">
        <f t="shared" ca="1" si="1"/>
        <v/>
      </c>
      <c r="AB11" s="2" t="str">
        <f t="shared" ca="1" si="1"/>
        <v/>
      </c>
      <c r="AC11" s="2" t="str">
        <f t="shared" ca="1" si="1"/>
        <v/>
      </c>
      <c r="AD11" s="2" t="str">
        <f t="shared" ca="1" si="1"/>
        <v/>
      </c>
    </row>
    <row r="12" spans="1:30" customFormat="1" hidden="1">
      <c r="A12" s="47" t="s">
        <v>147</v>
      </c>
      <c r="C12" t="s">
        <v>111</v>
      </c>
      <c r="D12" s="2"/>
      <c r="E12" s="2"/>
      <c r="F12" s="2">
        <f t="shared" ref="F12:AD12" ca="1" si="2">IF(TREND(OFFSET($F10,0,DoneDaysSp2-TrendDaysSp2,1,TrendDaysSp2),OFFSET($F13,0,DoneDaysSp2-TrendDaysSp2,1,TrendDaysSp2),F13)&lt;0,"",TREND(OFFSET($F10,0,DoneDaysSp2-TrendDaysSp2,1,TrendDaysSp2),OFFSET($F13,0,DoneDaysSp2-TrendDaysSp2,1,TrendDaysSp2),F13))</f>
        <v>47.533333333333331</v>
      </c>
      <c r="G12" s="2">
        <f t="shared" ca="1" si="2"/>
        <v>41.81666666666667</v>
      </c>
      <c r="H12" s="2">
        <f t="shared" ca="1" si="2"/>
        <v>36.1</v>
      </c>
      <c r="I12" s="2">
        <f t="shared" ca="1" si="2"/>
        <v>30.383333333333336</v>
      </c>
      <c r="J12" s="2">
        <f t="shared" ca="1" si="2"/>
        <v>24.666666666666671</v>
      </c>
      <c r="K12" s="2">
        <f t="shared" ca="1" si="2"/>
        <v>18.950000000000003</v>
      </c>
      <c r="L12" s="2">
        <f t="shared" ca="1" si="2"/>
        <v>13.233333333333341</v>
      </c>
      <c r="M12" s="2">
        <f t="shared" ca="1" si="2"/>
        <v>7.5166666666666728</v>
      </c>
      <c r="N12" s="2">
        <f t="shared" ca="1" si="2"/>
        <v>1.8000000000000043</v>
      </c>
      <c r="O12" s="2" t="str">
        <f t="shared" ca="1" si="2"/>
        <v/>
      </c>
      <c r="P12" s="2" t="str">
        <f t="shared" ca="1" si="2"/>
        <v/>
      </c>
      <c r="Q12" s="2" t="str">
        <f t="shared" ca="1" si="2"/>
        <v/>
      </c>
      <c r="R12" s="2" t="str">
        <f t="shared" ca="1" si="2"/>
        <v/>
      </c>
      <c r="S12" s="2" t="str">
        <f t="shared" ca="1" si="2"/>
        <v/>
      </c>
      <c r="T12" s="2" t="str">
        <f t="shared" ca="1" si="2"/>
        <v/>
      </c>
      <c r="U12" s="2" t="str">
        <f t="shared" ca="1" si="2"/>
        <v/>
      </c>
      <c r="V12" s="2" t="str">
        <f t="shared" ca="1" si="2"/>
        <v/>
      </c>
      <c r="W12" s="2" t="str">
        <f t="shared" ca="1" si="2"/>
        <v/>
      </c>
      <c r="X12" s="2" t="str">
        <f t="shared" ca="1" si="2"/>
        <v/>
      </c>
      <c r="Y12" s="2" t="str">
        <f t="shared" ca="1" si="2"/>
        <v/>
      </c>
      <c r="Z12" s="2" t="str">
        <f t="shared" ca="1" si="2"/>
        <v/>
      </c>
      <c r="AA12" s="2" t="str">
        <f t="shared" ca="1" si="2"/>
        <v/>
      </c>
      <c r="AB12" s="2" t="str">
        <f t="shared" ca="1" si="2"/>
        <v/>
      </c>
      <c r="AC12" s="2" t="str">
        <f t="shared" ca="1" si="2"/>
        <v/>
      </c>
      <c r="AD12" s="2" t="str">
        <f t="shared" ca="1" si="2"/>
        <v/>
      </c>
    </row>
    <row r="13" spans="1:30" customFormat="1" hidden="1">
      <c r="A13" s="47" t="s">
        <v>148</v>
      </c>
      <c r="C13" t="s">
        <v>149</v>
      </c>
      <c r="D13" s="2">
        <f ca="1">IF(DoneDaysSp2&gt;B10,B10,DoneDaysSp2)</f>
        <v>9</v>
      </c>
      <c r="E13" s="2"/>
      <c r="F13" s="2">
        <f ca="1">IF(DoneDaysSp2&gt;E13,E13+1,"")</f>
        <v>1</v>
      </c>
      <c r="G13" s="2">
        <v>2</v>
      </c>
      <c r="H13" s="2">
        <v>3</v>
      </c>
      <c r="I13" s="2">
        <v>4</v>
      </c>
      <c r="J13" s="2">
        <v>5</v>
      </c>
      <c r="K13" s="2">
        <v>6</v>
      </c>
      <c r="L13" s="2">
        <v>7</v>
      </c>
      <c r="M13" s="2">
        <v>8</v>
      </c>
      <c r="N13" s="2">
        <v>9</v>
      </c>
      <c r="O13" s="2">
        <v>10</v>
      </c>
      <c r="P13" s="2">
        <v>11</v>
      </c>
      <c r="Q13" s="2">
        <v>12</v>
      </c>
      <c r="R13" s="2">
        <v>13</v>
      </c>
      <c r="S13" s="2">
        <v>14</v>
      </c>
      <c r="T13" s="2">
        <v>15</v>
      </c>
      <c r="U13" s="2">
        <v>16</v>
      </c>
      <c r="V13" s="2">
        <v>17</v>
      </c>
      <c r="W13" s="2">
        <v>18</v>
      </c>
      <c r="X13" s="2">
        <v>19</v>
      </c>
      <c r="Y13" s="2">
        <v>20</v>
      </c>
      <c r="Z13" s="2">
        <v>21</v>
      </c>
      <c r="AA13" s="2">
        <v>22</v>
      </c>
      <c r="AB13" s="2">
        <v>23</v>
      </c>
      <c r="AC13" s="2">
        <v>24</v>
      </c>
      <c r="AD13" s="2">
        <v>25</v>
      </c>
    </row>
    <row r="14" spans="1:30">
      <c r="A14" s="58" t="s">
        <v>150</v>
      </c>
      <c r="B14" s="61" t="s">
        <v>20</v>
      </c>
      <c r="C14" s="58" t="s">
        <v>151</v>
      </c>
      <c r="D14" s="58" t="s">
        <v>6</v>
      </c>
      <c r="E14" s="61" t="s">
        <v>152</v>
      </c>
      <c r="F14" s="61">
        <v>1</v>
      </c>
      <c r="G14" s="61">
        <f t="shared" ref="G14:AD14" si="3">IF($B$9&gt;F14,F14+1,"")</f>
        <v>2</v>
      </c>
      <c r="H14" s="61">
        <f t="shared" si="3"/>
        <v>3</v>
      </c>
      <c r="I14" s="61">
        <f t="shared" si="3"/>
        <v>4</v>
      </c>
      <c r="J14" s="61">
        <f t="shared" si="3"/>
        <v>5</v>
      </c>
      <c r="K14" s="61">
        <f t="shared" si="3"/>
        <v>6</v>
      </c>
      <c r="L14" s="61">
        <f t="shared" si="3"/>
        <v>7</v>
      </c>
      <c r="M14" s="61">
        <f t="shared" si="3"/>
        <v>8</v>
      </c>
      <c r="N14" s="61">
        <f t="shared" si="3"/>
        <v>9</v>
      </c>
      <c r="O14" s="61">
        <f t="shared" si="3"/>
        <v>10</v>
      </c>
      <c r="P14" s="61" t="str">
        <f t="shared" si="3"/>
        <v/>
      </c>
      <c r="Q14" s="61" t="str">
        <f t="shared" si="3"/>
        <v/>
      </c>
      <c r="R14" s="61" t="str">
        <f t="shared" si="3"/>
        <v/>
      </c>
      <c r="S14" s="61" t="str">
        <f t="shared" si="3"/>
        <v/>
      </c>
      <c r="T14" s="61" t="str">
        <f t="shared" si="3"/>
        <v/>
      </c>
      <c r="U14" s="61" t="str">
        <f t="shared" si="3"/>
        <v/>
      </c>
      <c r="V14" s="61" t="str">
        <f t="shared" si="3"/>
        <v/>
      </c>
      <c r="W14" s="61" t="str">
        <f t="shared" si="3"/>
        <v/>
      </c>
      <c r="X14" s="61" t="str">
        <f t="shared" si="3"/>
        <v/>
      </c>
      <c r="Y14" s="61" t="str">
        <f t="shared" si="3"/>
        <v/>
      </c>
      <c r="Z14" s="61" t="str">
        <f t="shared" si="3"/>
        <v/>
      </c>
      <c r="AA14" s="61" t="str">
        <f t="shared" si="3"/>
        <v/>
      </c>
      <c r="AB14" s="61" t="str">
        <f t="shared" si="3"/>
        <v/>
      </c>
      <c r="AC14" s="61" t="str">
        <f t="shared" si="3"/>
        <v/>
      </c>
      <c r="AD14" s="61" t="str">
        <f t="shared" si="3"/>
        <v/>
      </c>
    </row>
    <row r="15" spans="1:30">
      <c r="A15" s="72" t="s">
        <v>178</v>
      </c>
      <c r="B15" s="72">
        <v>9</v>
      </c>
      <c r="C15" s="72" t="s">
        <v>166</v>
      </c>
      <c r="D15" s="72" t="s">
        <v>179</v>
      </c>
      <c r="E15" s="2">
        <v>2</v>
      </c>
      <c r="F15" s="2">
        <v>0</v>
      </c>
      <c r="G15" s="2">
        <v>0</v>
      </c>
      <c r="H15" s="2">
        <v>0</v>
      </c>
      <c r="I15" s="2">
        <v>0</v>
      </c>
      <c r="J15" s="27">
        <v>0</v>
      </c>
      <c r="K15" s="27">
        <v>0</v>
      </c>
      <c r="L15" s="27">
        <v>0</v>
      </c>
      <c r="M15" s="27">
        <v>0</v>
      </c>
      <c r="N15" s="27">
        <v>0</v>
      </c>
      <c r="O15" s="27">
        <v>0</v>
      </c>
    </row>
    <row r="16" spans="1:30">
      <c r="A16" s="72" t="s">
        <v>180</v>
      </c>
      <c r="B16" s="72">
        <v>9</v>
      </c>
      <c r="C16" s="72" t="s">
        <v>166</v>
      </c>
      <c r="D16" s="72" t="s">
        <v>179</v>
      </c>
      <c r="E16" s="2">
        <v>6</v>
      </c>
      <c r="F16" s="2">
        <v>6</v>
      </c>
      <c r="G16" s="2">
        <v>6</v>
      </c>
      <c r="H16" s="2">
        <v>2</v>
      </c>
      <c r="I16" s="2">
        <v>2</v>
      </c>
      <c r="J16" s="2">
        <v>0</v>
      </c>
      <c r="K16" s="2">
        <v>0</v>
      </c>
      <c r="L16" s="2">
        <v>0</v>
      </c>
      <c r="M16" s="2">
        <v>0</v>
      </c>
      <c r="N16" s="2">
        <v>0</v>
      </c>
      <c r="O16" s="2">
        <v>0</v>
      </c>
    </row>
    <row r="17" spans="1:30">
      <c r="A17" s="72" t="s">
        <v>181</v>
      </c>
      <c r="B17" s="72">
        <v>9</v>
      </c>
      <c r="C17" s="72" t="s">
        <v>166</v>
      </c>
      <c r="D17" s="72" t="s">
        <v>179</v>
      </c>
      <c r="E17" s="2">
        <v>3</v>
      </c>
      <c r="F17" s="2">
        <v>3</v>
      </c>
      <c r="G17" s="2">
        <v>3</v>
      </c>
      <c r="H17" s="2">
        <v>3</v>
      </c>
      <c r="I17" s="2">
        <v>1</v>
      </c>
      <c r="J17" s="2">
        <v>1</v>
      </c>
      <c r="K17" s="2">
        <v>1</v>
      </c>
      <c r="L17" s="2">
        <v>0</v>
      </c>
      <c r="M17" s="2">
        <v>0</v>
      </c>
      <c r="N17" s="2">
        <v>0</v>
      </c>
      <c r="O17" s="2">
        <v>0</v>
      </c>
      <c r="AC17" s="27" t="str">
        <f>IF(OR(AC$14="",$E17=""),"",AB17)</f>
        <v/>
      </c>
      <c r="AD17" s="27" t="str">
        <f>IF(OR(AD$14="",$E17=""),"",AC17)</f>
        <v/>
      </c>
    </row>
    <row r="18" spans="1:30">
      <c r="A18" s="72" t="s">
        <v>182</v>
      </c>
      <c r="B18" s="72">
        <v>9</v>
      </c>
      <c r="C18" s="72" t="s">
        <v>166</v>
      </c>
      <c r="D18" s="72" t="s">
        <v>179</v>
      </c>
      <c r="E18" s="2">
        <v>2</v>
      </c>
      <c r="F18" s="2">
        <v>2</v>
      </c>
      <c r="G18" s="2">
        <v>2</v>
      </c>
      <c r="H18" s="2">
        <v>2</v>
      </c>
      <c r="I18" s="2">
        <v>2</v>
      </c>
      <c r="J18" s="2">
        <v>2</v>
      </c>
      <c r="K18" s="2">
        <v>2</v>
      </c>
      <c r="L18" s="2">
        <v>0</v>
      </c>
      <c r="M18" s="2">
        <v>0</v>
      </c>
      <c r="N18" s="2">
        <v>0</v>
      </c>
      <c r="O18" s="2">
        <v>0</v>
      </c>
    </row>
    <row r="19" spans="1:30">
      <c r="A19" s="72" t="s">
        <v>183</v>
      </c>
      <c r="B19" s="72">
        <v>9</v>
      </c>
      <c r="C19" s="72" t="s">
        <v>157</v>
      </c>
      <c r="D19" s="72" t="s">
        <v>179</v>
      </c>
      <c r="E19" s="2">
        <v>3</v>
      </c>
      <c r="F19" s="2">
        <v>3</v>
      </c>
      <c r="G19" s="2">
        <v>3</v>
      </c>
      <c r="H19" s="2">
        <v>3</v>
      </c>
      <c r="I19" s="2">
        <v>3</v>
      </c>
      <c r="J19" s="2">
        <v>3</v>
      </c>
      <c r="K19" s="2">
        <v>2</v>
      </c>
      <c r="L19" s="2">
        <v>2</v>
      </c>
      <c r="M19" s="2">
        <v>6</v>
      </c>
      <c r="N19" s="2">
        <v>8</v>
      </c>
      <c r="O19" s="2">
        <v>0</v>
      </c>
    </row>
    <row r="20" spans="1:30">
      <c r="A20" s="72" t="s">
        <v>184</v>
      </c>
      <c r="B20" s="72">
        <v>10</v>
      </c>
      <c r="C20" s="72" t="s">
        <v>166</v>
      </c>
      <c r="D20" s="72" t="s">
        <v>179</v>
      </c>
      <c r="E20" s="27">
        <v>3</v>
      </c>
      <c r="F20" s="27">
        <v>3</v>
      </c>
      <c r="G20" s="27">
        <v>0</v>
      </c>
      <c r="H20" s="27">
        <v>0</v>
      </c>
      <c r="I20" s="27">
        <v>0</v>
      </c>
      <c r="J20" s="27">
        <v>0</v>
      </c>
      <c r="K20" s="27">
        <v>0</v>
      </c>
      <c r="L20" s="27">
        <v>0</v>
      </c>
      <c r="M20" s="27">
        <v>0</v>
      </c>
      <c r="N20" s="27">
        <v>0</v>
      </c>
      <c r="O20" s="27">
        <v>0</v>
      </c>
      <c r="AC20" s="27" t="str">
        <f t="shared" ref="AC20:AD49" si="4">IF(OR(AC$14="",$E20=""),"",AB20)</f>
        <v/>
      </c>
      <c r="AD20" s="27" t="str">
        <f t="shared" si="4"/>
        <v/>
      </c>
    </row>
    <row r="21" spans="1:30">
      <c r="A21" s="72" t="s">
        <v>185</v>
      </c>
      <c r="B21" s="72">
        <v>10</v>
      </c>
      <c r="C21" s="72" t="s">
        <v>157</v>
      </c>
      <c r="D21" s="72" t="s">
        <v>179</v>
      </c>
      <c r="E21" s="27">
        <v>3</v>
      </c>
      <c r="F21" s="27">
        <v>2</v>
      </c>
      <c r="G21" s="27">
        <v>0</v>
      </c>
      <c r="H21" s="27">
        <v>0</v>
      </c>
      <c r="I21" s="27">
        <v>0</v>
      </c>
      <c r="J21" s="27">
        <v>0</v>
      </c>
      <c r="K21" s="27">
        <v>0</v>
      </c>
      <c r="L21" s="27">
        <v>0</v>
      </c>
      <c r="M21" s="27">
        <v>0</v>
      </c>
      <c r="N21" s="27">
        <v>0</v>
      </c>
      <c r="O21" s="27">
        <v>0</v>
      </c>
      <c r="AC21" s="27" t="str">
        <f t="shared" si="4"/>
        <v/>
      </c>
      <c r="AD21" s="27" t="str">
        <f t="shared" si="4"/>
        <v/>
      </c>
    </row>
    <row r="22" spans="1:30">
      <c r="A22" s="72" t="s">
        <v>186</v>
      </c>
      <c r="B22" s="72">
        <v>10</v>
      </c>
      <c r="C22" s="72" t="s">
        <v>166</v>
      </c>
      <c r="D22" s="72" t="s">
        <v>179</v>
      </c>
      <c r="E22" s="27">
        <v>2</v>
      </c>
      <c r="F22" s="27">
        <v>2</v>
      </c>
      <c r="G22" s="27">
        <v>2</v>
      </c>
      <c r="H22" s="27">
        <v>2</v>
      </c>
      <c r="I22" s="27">
        <v>0</v>
      </c>
      <c r="J22" s="27">
        <v>0</v>
      </c>
      <c r="K22" s="27">
        <v>0</v>
      </c>
      <c r="L22" s="27">
        <v>0</v>
      </c>
      <c r="M22" s="27">
        <v>0</v>
      </c>
      <c r="N22" s="27">
        <v>0</v>
      </c>
      <c r="O22" s="27">
        <v>0</v>
      </c>
    </row>
    <row r="23" spans="1:30">
      <c r="A23" s="72" t="s">
        <v>187</v>
      </c>
      <c r="B23" s="72">
        <v>24</v>
      </c>
      <c r="C23" s="72" t="s">
        <v>161</v>
      </c>
      <c r="D23" s="72" t="s">
        <v>179</v>
      </c>
      <c r="E23" s="27">
        <v>10</v>
      </c>
      <c r="F23" s="27">
        <v>10</v>
      </c>
      <c r="G23" s="27">
        <v>10</v>
      </c>
      <c r="H23" s="27">
        <v>10</v>
      </c>
      <c r="I23" s="27">
        <v>10</v>
      </c>
      <c r="J23" s="27">
        <v>10</v>
      </c>
      <c r="K23" s="27">
        <v>8</v>
      </c>
      <c r="L23" s="27">
        <v>0</v>
      </c>
      <c r="M23" s="27">
        <v>0</v>
      </c>
      <c r="N23" s="27">
        <v>0</v>
      </c>
      <c r="O23" s="27">
        <v>0</v>
      </c>
      <c r="AC23" s="27" t="str">
        <f t="shared" si="4"/>
        <v/>
      </c>
      <c r="AD23" s="27" t="str">
        <f t="shared" si="4"/>
        <v/>
      </c>
    </row>
    <row r="24" spans="1:30">
      <c r="A24" s="72" t="s">
        <v>188</v>
      </c>
      <c r="B24" s="72">
        <v>24</v>
      </c>
      <c r="C24" s="72" t="s">
        <v>154</v>
      </c>
      <c r="D24" s="72" t="s">
        <v>179</v>
      </c>
      <c r="E24" s="27">
        <v>2</v>
      </c>
      <c r="F24" s="27">
        <v>2</v>
      </c>
      <c r="G24" s="27">
        <v>2</v>
      </c>
      <c r="H24" s="27">
        <v>2</v>
      </c>
      <c r="I24" s="27">
        <v>2</v>
      </c>
      <c r="J24" s="27">
        <v>2</v>
      </c>
      <c r="K24" s="27">
        <v>2</v>
      </c>
      <c r="L24" s="27">
        <v>2</v>
      </c>
      <c r="M24" s="27">
        <v>0</v>
      </c>
      <c r="N24" s="27">
        <v>0</v>
      </c>
      <c r="O24" s="27">
        <v>0</v>
      </c>
      <c r="AC24" s="27" t="str">
        <f t="shared" si="4"/>
        <v/>
      </c>
      <c r="AD24" s="27" t="str">
        <f t="shared" si="4"/>
        <v/>
      </c>
    </row>
    <row r="25" spans="1:30">
      <c r="A25" s="72" t="s">
        <v>189</v>
      </c>
      <c r="B25" s="72">
        <v>22</v>
      </c>
      <c r="C25" s="72" t="s">
        <v>161</v>
      </c>
      <c r="D25" s="72" t="s">
        <v>179</v>
      </c>
      <c r="E25" s="27">
        <v>2</v>
      </c>
      <c r="F25" s="27">
        <v>2</v>
      </c>
      <c r="G25" s="27">
        <v>2</v>
      </c>
      <c r="H25" s="27">
        <v>2</v>
      </c>
      <c r="I25" s="27">
        <v>2</v>
      </c>
      <c r="J25" s="27">
        <v>2</v>
      </c>
      <c r="K25" s="27">
        <v>2</v>
      </c>
      <c r="L25" s="27">
        <v>0</v>
      </c>
      <c r="M25" s="27">
        <v>0</v>
      </c>
      <c r="N25" s="27">
        <v>0</v>
      </c>
      <c r="O25" s="27">
        <v>0</v>
      </c>
    </row>
    <row r="26" spans="1:30">
      <c r="A26" s="72" t="s">
        <v>190</v>
      </c>
      <c r="B26" s="72">
        <v>7</v>
      </c>
      <c r="C26" s="72" t="s">
        <v>171</v>
      </c>
      <c r="D26" s="72" t="s">
        <v>179</v>
      </c>
      <c r="E26" s="27">
        <v>7</v>
      </c>
      <c r="F26" s="27">
        <v>7</v>
      </c>
      <c r="G26" s="27">
        <v>7</v>
      </c>
      <c r="H26" s="27">
        <v>4</v>
      </c>
      <c r="I26" s="27">
        <v>4</v>
      </c>
      <c r="J26" s="27">
        <v>4</v>
      </c>
      <c r="K26" s="27">
        <v>2</v>
      </c>
      <c r="L26" s="27">
        <v>0</v>
      </c>
      <c r="M26" s="27">
        <v>0</v>
      </c>
      <c r="N26" s="27">
        <v>0</v>
      </c>
      <c r="O26" s="27">
        <v>0</v>
      </c>
    </row>
    <row r="27" spans="1:30">
      <c r="A27" s="72" t="s">
        <v>191</v>
      </c>
      <c r="B27" s="72">
        <v>6</v>
      </c>
      <c r="C27" s="72" t="s">
        <v>192</v>
      </c>
      <c r="D27" s="72" t="s">
        <v>179</v>
      </c>
      <c r="E27" s="27">
        <v>4</v>
      </c>
      <c r="F27" s="27">
        <v>4</v>
      </c>
      <c r="G27" s="27">
        <v>4</v>
      </c>
      <c r="H27" s="27">
        <v>0</v>
      </c>
      <c r="I27" s="27">
        <v>0</v>
      </c>
      <c r="J27" s="27">
        <v>0</v>
      </c>
      <c r="K27" s="27">
        <v>0</v>
      </c>
      <c r="L27" s="27">
        <v>0</v>
      </c>
      <c r="M27" s="27">
        <v>0</v>
      </c>
      <c r="N27" s="27">
        <v>0</v>
      </c>
      <c r="O27" s="27">
        <v>0</v>
      </c>
    </row>
    <row r="28" spans="1:30">
      <c r="A28" s="72" t="s">
        <v>193</v>
      </c>
      <c r="B28" s="72">
        <v>25</v>
      </c>
      <c r="C28" s="72" t="s">
        <v>166</v>
      </c>
      <c r="D28" s="72" t="s">
        <v>179</v>
      </c>
      <c r="E28" s="27">
        <v>2</v>
      </c>
      <c r="F28" s="27">
        <v>2</v>
      </c>
      <c r="G28" s="27">
        <v>2</v>
      </c>
      <c r="H28" s="27">
        <v>2</v>
      </c>
      <c r="I28" s="27">
        <v>2</v>
      </c>
      <c r="J28" s="27">
        <v>2</v>
      </c>
      <c r="K28" s="27">
        <v>2</v>
      </c>
      <c r="L28" s="27">
        <v>0</v>
      </c>
      <c r="M28" s="27">
        <v>0</v>
      </c>
      <c r="N28" s="27">
        <v>0</v>
      </c>
      <c r="O28" s="27">
        <v>0</v>
      </c>
    </row>
    <row r="29" spans="1:30">
      <c r="A29" s="72" t="s">
        <v>194</v>
      </c>
      <c r="B29" s="72">
        <v>25</v>
      </c>
      <c r="C29" s="72" t="s">
        <v>166</v>
      </c>
      <c r="D29" s="72" t="s">
        <v>179</v>
      </c>
      <c r="E29" s="27">
        <v>1</v>
      </c>
      <c r="F29" s="27">
        <v>1</v>
      </c>
      <c r="G29" s="27">
        <v>1</v>
      </c>
      <c r="H29" s="27">
        <v>1</v>
      </c>
      <c r="I29" s="27">
        <v>1</v>
      </c>
      <c r="J29" s="27">
        <v>1</v>
      </c>
      <c r="K29" s="27">
        <v>1</v>
      </c>
      <c r="L29" s="27">
        <v>0</v>
      </c>
      <c r="M29" s="27">
        <v>0</v>
      </c>
      <c r="N29" s="27">
        <v>0</v>
      </c>
      <c r="O29" s="27">
        <v>0</v>
      </c>
    </row>
    <row r="30" spans="1:30">
      <c r="A30" s="72"/>
      <c r="B30" s="72"/>
      <c r="C30" s="72"/>
      <c r="D30" s="72"/>
    </row>
    <row r="31" spans="1:30">
      <c r="A31"/>
      <c r="B31" s="72"/>
      <c r="C31" s="72"/>
      <c r="D31" s="72"/>
    </row>
    <row r="32" spans="1:30">
      <c r="A32" s="72" t="s">
        <v>195</v>
      </c>
      <c r="B32" s="72"/>
      <c r="C32" s="72"/>
      <c r="D32" s="72"/>
    </row>
    <row r="33" spans="1:30">
      <c r="A33" s="72"/>
      <c r="B33" s="72"/>
      <c r="C33" s="72"/>
      <c r="D33" s="72"/>
    </row>
    <row r="34" spans="1:30" ht="15" customHeight="1">
      <c r="A34" s="72" t="s">
        <v>196</v>
      </c>
      <c r="B34" s="72"/>
      <c r="C34" s="72"/>
      <c r="D34" s="72"/>
      <c r="AC34" s="27" t="str">
        <f t="shared" si="4"/>
        <v/>
      </c>
      <c r="AD34" s="27" t="str">
        <f t="shared" si="4"/>
        <v/>
      </c>
    </row>
    <row r="35" spans="1:30">
      <c r="A35" s="71" t="s">
        <v>197</v>
      </c>
      <c r="B35" s="72"/>
      <c r="C35" s="72"/>
      <c r="D35" s="72"/>
      <c r="AC35" s="27" t="str">
        <f t="shared" si="4"/>
        <v/>
      </c>
      <c r="AD35" s="27" t="str">
        <f t="shared" si="4"/>
        <v/>
      </c>
    </row>
    <row r="36" spans="1:30">
      <c r="A36" s="72" t="s">
        <v>198</v>
      </c>
      <c r="B36" s="72"/>
      <c r="C36" s="72"/>
      <c r="D36" s="72"/>
      <c r="AC36" s="27" t="str">
        <f t="shared" si="4"/>
        <v/>
      </c>
      <c r="AD36" s="27" t="str">
        <f t="shared" si="4"/>
        <v/>
      </c>
    </row>
    <row r="37" spans="1:30">
      <c r="A37" s="72" t="s">
        <v>199</v>
      </c>
      <c r="B37" s="72"/>
      <c r="C37" s="72"/>
      <c r="D37" s="72"/>
      <c r="AC37" s="27" t="str">
        <f t="shared" si="4"/>
        <v/>
      </c>
      <c r="AD37" s="27" t="str">
        <f t="shared" si="4"/>
        <v/>
      </c>
    </row>
    <row r="38" spans="1:30">
      <c r="A38" s="72"/>
      <c r="B38" s="72"/>
      <c r="C38" s="72"/>
      <c r="D38" s="72"/>
      <c r="AC38" s="27" t="str">
        <f t="shared" si="4"/>
        <v/>
      </c>
      <c r="AD38" s="27" t="str">
        <f t="shared" si="4"/>
        <v/>
      </c>
    </row>
    <row r="39" spans="1:30">
      <c r="A39" s="72"/>
      <c r="B39" s="72"/>
      <c r="C39" s="72"/>
      <c r="D39" s="72"/>
      <c r="AC39" s="27" t="str">
        <f t="shared" si="4"/>
        <v/>
      </c>
      <c r="AD39" s="27" t="str">
        <f t="shared" si="4"/>
        <v/>
      </c>
    </row>
    <row r="40" spans="1:30">
      <c r="A40" s="72"/>
      <c r="B40" s="72"/>
      <c r="C40" s="72"/>
      <c r="D40" s="72"/>
      <c r="AC40" s="27" t="str">
        <f t="shared" si="4"/>
        <v/>
      </c>
      <c r="AD40" s="27" t="str">
        <f t="shared" si="4"/>
        <v/>
      </c>
    </row>
    <row r="41" spans="1:30">
      <c r="A41" s="72"/>
      <c r="B41" s="72"/>
      <c r="C41" s="72"/>
      <c r="D41" s="72"/>
      <c r="AC41" s="27" t="str">
        <f t="shared" si="4"/>
        <v/>
      </c>
      <c r="AD41" s="27" t="str">
        <f t="shared" si="4"/>
        <v/>
      </c>
    </row>
    <row r="42" spans="1:30">
      <c r="A42" s="72"/>
      <c r="B42" s="72"/>
      <c r="C42" s="72"/>
      <c r="D42" s="72"/>
      <c r="AC42" s="27" t="str">
        <f t="shared" si="4"/>
        <v/>
      </c>
      <c r="AD42" s="27" t="str">
        <f t="shared" si="4"/>
        <v/>
      </c>
    </row>
    <row r="43" spans="1:30">
      <c r="A43" s="72"/>
      <c r="B43" s="72"/>
      <c r="C43" s="72"/>
      <c r="D43" s="72"/>
      <c r="AC43" s="27" t="str">
        <f t="shared" si="4"/>
        <v/>
      </c>
      <c r="AD43" s="27" t="str">
        <f t="shared" si="4"/>
        <v/>
      </c>
    </row>
    <row r="44" spans="1:30">
      <c r="A44" s="72"/>
      <c r="B44" s="72"/>
      <c r="C44" s="72"/>
      <c r="D44" s="72"/>
      <c r="AC44" s="27" t="str">
        <f t="shared" si="4"/>
        <v/>
      </c>
      <c r="AD44" s="27" t="str">
        <f t="shared" si="4"/>
        <v/>
      </c>
    </row>
    <row r="45" spans="1:30">
      <c r="A45" s="72"/>
      <c r="B45" s="72"/>
      <c r="C45" s="72"/>
      <c r="D45" s="72"/>
      <c r="AC45" s="27" t="str">
        <f t="shared" si="4"/>
        <v/>
      </c>
      <c r="AD45" s="27" t="str">
        <f t="shared" si="4"/>
        <v/>
      </c>
    </row>
    <row r="46" spans="1:30">
      <c r="A46" s="25"/>
      <c r="C46"/>
      <c r="D46" s="28" t="str">
        <f t="shared" ref="D46:D68" si="5">IF(A46&lt;&gt;"","Planned","")</f>
        <v/>
      </c>
      <c r="F46" s="27" t="str">
        <f t="shared" ref="F46:F68" si="6">IF(OR(F$14="",$E46=""),"",E46)</f>
        <v/>
      </c>
      <c r="AC46" s="27" t="str">
        <f t="shared" si="4"/>
        <v/>
      </c>
      <c r="AD46" s="27" t="str">
        <f t="shared" si="4"/>
        <v/>
      </c>
    </row>
    <row r="47" spans="1:30">
      <c r="C47"/>
      <c r="D47" s="28" t="str">
        <f t="shared" si="5"/>
        <v/>
      </c>
      <c r="F47" s="27" t="str">
        <f t="shared" si="6"/>
        <v/>
      </c>
      <c r="AC47" s="27" t="str">
        <f t="shared" si="4"/>
        <v/>
      </c>
      <c r="AD47" s="27" t="str">
        <f t="shared" si="4"/>
        <v/>
      </c>
    </row>
    <row r="48" spans="1:30">
      <c r="C48"/>
      <c r="D48" s="28" t="str">
        <f t="shared" si="5"/>
        <v/>
      </c>
      <c r="F48" s="27" t="str">
        <f t="shared" si="6"/>
        <v/>
      </c>
      <c r="AC48" s="27" t="str">
        <f t="shared" si="4"/>
        <v/>
      </c>
      <c r="AD48" s="27" t="str">
        <f t="shared" si="4"/>
        <v/>
      </c>
    </row>
    <row r="49" spans="3:30">
      <c r="C49"/>
      <c r="D49" s="28" t="str">
        <f t="shared" si="5"/>
        <v/>
      </c>
      <c r="F49" s="27" t="str">
        <f t="shared" si="6"/>
        <v/>
      </c>
      <c r="AC49" s="27" t="str">
        <f t="shared" si="4"/>
        <v/>
      </c>
      <c r="AD49" s="27" t="str">
        <f t="shared" si="4"/>
        <v/>
      </c>
    </row>
    <row r="50" spans="3:30">
      <c r="C50"/>
      <c r="D50" s="28" t="str">
        <f t="shared" si="5"/>
        <v/>
      </c>
      <c r="F50" s="27" t="str">
        <f t="shared" si="6"/>
        <v/>
      </c>
      <c r="AC50" s="27" t="str">
        <f t="shared" ref="AC50:AD68" si="7">IF(OR(AC$14="",$E50=""),"",AB50)</f>
        <v/>
      </c>
      <c r="AD50" s="27" t="str">
        <f t="shared" si="7"/>
        <v/>
      </c>
    </row>
    <row r="51" spans="3:30">
      <c r="C51"/>
      <c r="D51" s="28" t="str">
        <f t="shared" si="5"/>
        <v/>
      </c>
      <c r="F51" s="27" t="str">
        <f t="shared" si="6"/>
        <v/>
      </c>
      <c r="AC51" s="27" t="str">
        <f t="shared" si="7"/>
        <v/>
      </c>
      <c r="AD51" s="27" t="str">
        <f t="shared" si="7"/>
        <v/>
      </c>
    </row>
    <row r="52" spans="3:30">
      <c r="C52"/>
      <c r="D52" s="28" t="str">
        <f t="shared" si="5"/>
        <v/>
      </c>
      <c r="F52" s="27" t="str">
        <f t="shared" si="6"/>
        <v/>
      </c>
      <c r="AC52" s="27" t="str">
        <f t="shared" si="7"/>
        <v/>
      </c>
      <c r="AD52" s="27" t="str">
        <f t="shared" si="7"/>
        <v/>
      </c>
    </row>
    <row r="53" spans="3:30">
      <c r="C53"/>
      <c r="D53" s="28" t="str">
        <f t="shared" si="5"/>
        <v/>
      </c>
      <c r="F53" s="27" t="str">
        <f t="shared" si="6"/>
        <v/>
      </c>
      <c r="AC53" s="27" t="str">
        <f t="shared" si="7"/>
        <v/>
      </c>
      <c r="AD53" s="27" t="str">
        <f t="shared" si="7"/>
        <v/>
      </c>
    </row>
    <row r="54" spans="3:30">
      <c r="C54"/>
      <c r="D54" s="28" t="str">
        <f t="shared" si="5"/>
        <v/>
      </c>
      <c r="F54" s="27" t="str">
        <f t="shared" si="6"/>
        <v/>
      </c>
      <c r="AC54" s="27" t="str">
        <f t="shared" si="7"/>
        <v/>
      </c>
      <c r="AD54" s="27" t="str">
        <f t="shared" si="7"/>
        <v/>
      </c>
    </row>
    <row r="55" spans="3:30">
      <c r="C55"/>
      <c r="D55" s="28" t="str">
        <f t="shared" si="5"/>
        <v/>
      </c>
      <c r="F55" s="27" t="str">
        <f t="shared" si="6"/>
        <v/>
      </c>
      <c r="AC55" s="27" t="str">
        <f t="shared" si="7"/>
        <v/>
      </c>
      <c r="AD55" s="27" t="str">
        <f t="shared" si="7"/>
        <v/>
      </c>
    </row>
    <row r="56" spans="3:30">
      <c r="C56"/>
      <c r="D56" s="28" t="str">
        <f t="shared" si="5"/>
        <v/>
      </c>
      <c r="F56" s="27" t="str">
        <f t="shared" si="6"/>
        <v/>
      </c>
      <c r="AC56" s="27" t="str">
        <f t="shared" si="7"/>
        <v/>
      </c>
      <c r="AD56" s="27" t="str">
        <f t="shared" si="7"/>
        <v/>
      </c>
    </row>
    <row r="57" spans="3:30">
      <c r="C57"/>
      <c r="D57" s="28" t="str">
        <f t="shared" si="5"/>
        <v/>
      </c>
      <c r="F57" s="27" t="str">
        <f t="shared" si="6"/>
        <v/>
      </c>
      <c r="AC57" s="27" t="str">
        <f t="shared" si="7"/>
        <v/>
      </c>
      <c r="AD57" s="27" t="str">
        <f t="shared" si="7"/>
        <v/>
      </c>
    </row>
    <row r="58" spans="3:30">
      <c r="C58"/>
      <c r="D58" s="28" t="str">
        <f t="shared" si="5"/>
        <v/>
      </c>
      <c r="F58" s="27" t="str">
        <f t="shared" si="6"/>
        <v/>
      </c>
      <c r="AC58" s="27" t="str">
        <f t="shared" si="7"/>
        <v/>
      </c>
      <c r="AD58" s="27" t="str">
        <f t="shared" si="7"/>
        <v/>
      </c>
    </row>
    <row r="59" spans="3:30">
      <c r="C59"/>
      <c r="D59" s="28" t="str">
        <f t="shared" si="5"/>
        <v/>
      </c>
      <c r="F59" s="27" t="str">
        <f t="shared" si="6"/>
        <v/>
      </c>
      <c r="AC59" s="27" t="str">
        <f t="shared" si="7"/>
        <v/>
      </c>
      <c r="AD59" s="27" t="str">
        <f t="shared" si="7"/>
        <v/>
      </c>
    </row>
    <row r="60" spans="3:30">
      <c r="C60"/>
      <c r="D60" s="28" t="str">
        <f t="shared" si="5"/>
        <v/>
      </c>
      <c r="F60" s="27" t="str">
        <f t="shared" si="6"/>
        <v/>
      </c>
      <c r="AC60" s="27" t="str">
        <f t="shared" si="7"/>
        <v/>
      </c>
      <c r="AD60" s="27" t="str">
        <f t="shared" si="7"/>
        <v/>
      </c>
    </row>
    <row r="61" spans="3:30">
      <c r="C61"/>
      <c r="D61" s="28" t="str">
        <f t="shared" si="5"/>
        <v/>
      </c>
      <c r="F61" s="27" t="str">
        <f t="shared" si="6"/>
        <v/>
      </c>
      <c r="AC61" s="27" t="str">
        <f t="shared" si="7"/>
        <v/>
      </c>
      <c r="AD61" s="27" t="str">
        <f t="shared" si="7"/>
        <v/>
      </c>
    </row>
    <row r="62" spans="3:30">
      <c r="C62"/>
      <c r="D62" s="28" t="str">
        <f t="shared" si="5"/>
        <v/>
      </c>
      <c r="F62" s="27" t="str">
        <f t="shared" si="6"/>
        <v/>
      </c>
      <c r="AC62" s="27" t="str">
        <f t="shared" si="7"/>
        <v/>
      </c>
      <c r="AD62" s="27" t="str">
        <f t="shared" si="7"/>
        <v/>
      </c>
    </row>
    <row r="63" spans="3:30">
      <c r="C63"/>
      <c r="D63" s="28" t="str">
        <f t="shared" si="5"/>
        <v/>
      </c>
      <c r="F63" s="27" t="str">
        <f t="shared" si="6"/>
        <v/>
      </c>
      <c r="AC63" s="27" t="str">
        <f t="shared" si="7"/>
        <v/>
      </c>
      <c r="AD63" s="27" t="str">
        <f t="shared" si="7"/>
        <v/>
      </c>
    </row>
    <row r="64" spans="3:30">
      <c r="C64"/>
      <c r="D64" s="28" t="str">
        <f t="shared" si="5"/>
        <v/>
      </c>
      <c r="F64" s="27" t="str">
        <f t="shared" si="6"/>
        <v/>
      </c>
      <c r="AC64" s="27" t="str">
        <f t="shared" si="7"/>
        <v/>
      </c>
      <c r="AD64" s="27" t="str">
        <f t="shared" si="7"/>
        <v/>
      </c>
    </row>
    <row r="65" spans="1:30">
      <c r="C65"/>
      <c r="D65" s="28" t="str">
        <f t="shared" si="5"/>
        <v/>
      </c>
      <c r="F65" s="27" t="str">
        <f t="shared" si="6"/>
        <v/>
      </c>
      <c r="AC65" s="27" t="str">
        <f t="shared" si="7"/>
        <v/>
      </c>
      <c r="AD65" s="27" t="str">
        <f t="shared" si="7"/>
        <v/>
      </c>
    </row>
    <row r="66" spans="1:30">
      <c r="C66"/>
      <c r="D66" s="28" t="str">
        <f t="shared" si="5"/>
        <v/>
      </c>
      <c r="F66" s="27" t="str">
        <f t="shared" si="6"/>
        <v/>
      </c>
      <c r="AC66" s="27" t="str">
        <f t="shared" si="7"/>
        <v/>
      </c>
      <c r="AD66" s="27" t="str">
        <f t="shared" si="7"/>
        <v/>
      </c>
    </row>
    <row r="67" spans="1:30">
      <c r="C67"/>
      <c r="D67" s="28" t="str">
        <f t="shared" si="5"/>
        <v/>
      </c>
      <c r="F67" s="27" t="str">
        <f t="shared" si="6"/>
        <v/>
      </c>
      <c r="G67" s="27" t="str">
        <f t="shared" ref="G67:U67" si="8">IF(OR(G$14="",$E67=""),"",F67)</f>
        <v/>
      </c>
      <c r="H67" s="27" t="str">
        <f t="shared" si="8"/>
        <v/>
      </c>
      <c r="I67" s="27" t="str">
        <f t="shared" si="8"/>
        <v/>
      </c>
      <c r="J67" s="27" t="str">
        <f t="shared" si="8"/>
        <v/>
      </c>
      <c r="K67" s="27" t="str">
        <f t="shared" si="8"/>
        <v/>
      </c>
      <c r="L67" s="27" t="str">
        <f t="shared" si="8"/>
        <v/>
      </c>
      <c r="M67" s="27" t="str">
        <f t="shared" si="8"/>
        <v/>
      </c>
      <c r="N67" s="27" t="str">
        <f t="shared" si="8"/>
        <v/>
      </c>
      <c r="O67" s="27" t="str">
        <f t="shared" si="8"/>
        <v/>
      </c>
      <c r="P67" s="27" t="str">
        <f t="shared" si="8"/>
        <v/>
      </c>
      <c r="Q67" s="27" t="str">
        <f t="shared" si="8"/>
        <v/>
      </c>
      <c r="R67" s="27" t="str">
        <f t="shared" si="8"/>
        <v/>
      </c>
      <c r="S67" s="27" t="str">
        <f t="shared" si="8"/>
        <v/>
      </c>
      <c r="T67" s="27" t="str">
        <f t="shared" si="8"/>
        <v/>
      </c>
      <c r="U67" s="27" t="str">
        <f t="shared" si="8"/>
        <v/>
      </c>
      <c r="V67" s="27" t="str">
        <f t="shared" ref="V67:AB68" si="9">IF(OR(V$14="",$E67=""),"",U67)</f>
        <v/>
      </c>
      <c r="W67" s="27" t="str">
        <f t="shared" si="9"/>
        <v/>
      </c>
      <c r="X67" s="27" t="str">
        <f t="shared" si="9"/>
        <v/>
      </c>
      <c r="Y67" s="27" t="str">
        <f t="shared" si="9"/>
        <v/>
      </c>
      <c r="Z67" s="27" t="str">
        <f t="shared" si="9"/>
        <v/>
      </c>
      <c r="AA67" s="27" t="str">
        <f t="shared" si="9"/>
        <v/>
      </c>
      <c r="AB67" s="27" t="str">
        <f t="shared" si="9"/>
        <v/>
      </c>
      <c r="AC67" s="27" t="str">
        <f t="shared" si="7"/>
        <v/>
      </c>
      <c r="AD67" s="27" t="str">
        <f t="shared" si="7"/>
        <v/>
      </c>
    </row>
    <row r="68" spans="1:30">
      <c r="C68"/>
      <c r="D68" s="28" t="str">
        <f t="shared" si="5"/>
        <v/>
      </c>
      <c r="F68" s="27" t="str">
        <f t="shared" si="6"/>
        <v/>
      </c>
      <c r="G68" s="27" t="str">
        <f t="shared" ref="G68:U68" si="10">IF(OR(G$14="",$E68=""),"",F68)</f>
        <v/>
      </c>
      <c r="H68" s="27" t="str">
        <f t="shared" si="10"/>
        <v/>
      </c>
      <c r="I68" s="27" t="str">
        <f t="shared" si="10"/>
        <v/>
      </c>
      <c r="J68" s="27" t="str">
        <f t="shared" si="10"/>
        <v/>
      </c>
      <c r="K68" s="27" t="str">
        <f t="shared" si="10"/>
        <v/>
      </c>
      <c r="L68" s="27" t="str">
        <f t="shared" si="10"/>
        <v/>
      </c>
      <c r="M68" s="27" t="str">
        <f t="shared" si="10"/>
        <v/>
      </c>
      <c r="N68" s="27" t="str">
        <f t="shared" si="10"/>
        <v/>
      </c>
      <c r="O68" s="27" t="str">
        <f t="shared" si="10"/>
        <v/>
      </c>
      <c r="P68" s="27" t="str">
        <f t="shared" si="10"/>
        <v/>
      </c>
      <c r="Q68" s="27" t="str">
        <f t="shared" si="10"/>
        <v/>
      </c>
      <c r="R68" s="27" t="str">
        <f t="shared" si="10"/>
        <v/>
      </c>
      <c r="S68" s="27" t="str">
        <f t="shared" si="10"/>
        <v/>
      </c>
      <c r="T68" s="27" t="str">
        <f t="shared" si="10"/>
        <v/>
      </c>
      <c r="U68" s="27" t="str">
        <f t="shared" si="10"/>
        <v/>
      </c>
      <c r="V68" s="27" t="str">
        <f t="shared" si="9"/>
        <v/>
      </c>
      <c r="W68" s="27" t="str">
        <f t="shared" si="9"/>
        <v/>
      </c>
      <c r="X68" s="27" t="str">
        <f t="shared" si="9"/>
        <v/>
      </c>
      <c r="Y68" s="27" t="str">
        <f t="shared" si="9"/>
        <v/>
      </c>
      <c r="Z68" s="27" t="str">
        <f t="shared" si="9"/>
        <v/>
      </c>
      <c r="AA68" s="27" t="str">
        <f t="shared" si="9"/>
        <v/>
      </c>
      <c r="AB68" s="27" t="str">
        <f t="shared" si="9"/>
        <v/>
      </c>
      <c r="AC68" s="27" t="str">
        <f t="shared" si="7"/>
        <v/>
      </c>
      <c r="AD68" s="27" t="str">
        <f t="shared" si="7"/>
        <v/>
      </c>
    </row>
    <row r="69" spans="1:30">
      <c r="A69" s="25"/>
      <c r="C69"/>
    </row>
    <row r="70" spans="1:30">
      <c r="A70" s="25"/>
      <c r="C70"/>
      <c r="AC70" s="27" t="str">
        <f t="shared" ref="AC70:AD74" si="11">IF(OR(AC$14="",$E70=""),"",AB70)</f>
        <v/>
      </c>
      <c r="AD70" s="27" t="str">
        <f t="shared" si="11"/>
        <v/>
      </c>
    </row>
    <row r="71" spans="1:30">
      <c r="A71" s="25"/>
      <c r="C71"/>
      <c r="AC71" s="27" t="str">
        <f t="shared" si="11"/>
        <v/>
      </c>
      <c r="AD71" s="27" t="str">
        <f t="shared" si="11"/>
        <v/>
      </c>
    </row>
    <row r="72" spans="1:30">
      <c r="A72" s="25"/>
      <c r="C72"/>
      <c r="AC72" s="27" t="str">
        <f t="shared" si="11"/>
        <v/>
      </c>
      <c r="AD72" s="27" t="str">
        <f t="shared" si="11"/>
        <v/>
      </c>
    </row>
    <row r="73" spans="1:30">
      <c r="A73" s="25"/>
      <c r="C73"/>
      <c r="AC73" s="27" t="str">
        <f t="shared" si="11"/>
        <v/>
      </c>
      <c r="AD73" s="27" t="str">
        <f t="shared" si="11"/>
        <v/>
      </c>
    </row>
    <row r="74" spans="1:30">
      <c r="A74" s="25"/>
      <c r="C74"/>
      <c r="AC74" s="27" t="str">
        <f t="shared" si="11"/>
        <v/>
      </c>
      <c r="AD74" s="27" t="str">
        <f t="shared" si="11"/>
        <v/>
      </c>
    </row>
    <row r="75" spans="1:30">
      <c r="C75"/>
      <c r="D75" s="28" t="str">
        <f>IF(A75&lt;&gt;"","Planned","")</f>
        <v/>
      </c>
    </row>
    <row r="76" spans="1:30">
      <c r="C76"/>
    </row>
    <row r="77" spans="1:30">
      <c r="C77"/>
    </row>
    <row r="78" spans="1:30">
      <c r="C78"/>
    </row>
    <row r="79" spans="1:30">
      <c r="C79"/>
    </row>
    <row r="80" spans="1:30">
      <c r="C80"/>
    </row>
    <row r="81" spans="3:3">
      <c r="C81"/>
    </row>
    <row r="82" spans="3:3">
      <c r="C82"/>
    </row>
    <row r="83" spans="3:3">
      <c r="C83"/>
    </row>
    <row r="84" spans="3:3">
      <c r="C84"/>
    </row>
    <row r="85" spans="3:3">
      <c r="C85"/>
    </row>
    <row r="86" spans="3:3">
      <c r="C86"/>
    </row>
    <row r="87" spans="3:3">
      <c r="C87"/>
    </row>
    <row r="88" spans="3:3">
      <c r="C88"/>
    </row>
    <row r="89" spans="3:3">
      <c r="C89"/>
    </row>
    <row r="90" spans="3:3">
      <c r="C90"/>
    </row>
    <row r="91" spans="3:3">
      <c r="C91"/>
    </row>
    <row r="92" spans="3:3">
      <c r="C92"/>
    </row>
    <row r="93" spans="3:3">
      <c r="C93"/>
    </row>
    <row r="94" spans="3:3">
      <c r="C94"/>
    </row>
    <row r="95" spans="3:3">
      <c r="C95"/>
    </row>
    <row r="96" spans="3:3">
      <c r="C96"/>
    </row>
    <row r="97" spans="3:3">
      <c r="C97"/>
    </row>
    <row r="98" spans="3:3">
      <c r="C98"/>
    </row>
  </sheetData>
  <conditionalFormatting sqref="A46:AD69 E15:AD45">
    <cfRule type="expression" dxfId="5" priority="1" stopIfTrue="1">
      <formula>$D15="Done"</formula>
    </cfRule>
    <cfRule type="expression" dxfId="4" priority="2" stopIfTrue="1">
      <formula>$D15="Ongoing"</formula>
    </cfRule>
  </conditionalFormatting>
  <dataValidations count="1">
    <dataValidation type="list" allowBlank="1" showInputMessage="1" sqref="D3:D8 D46:D75" xr:uid="{00000000-0002-0000-0400-000000000000}">
      <formula1>"Planned,Ongoing,Done"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2305" r:id="rId3" name="Button 1">
              <controlPr defaultSize="0" print="0" autoFill="0" autoPict="0" macro="[0]!SortSprintTasks">
                <anchor moveWithCells="1" sizeWithCells="1">
                  <from>
                    <xdr:col>0</xdr:col>
                    <xdr:colOff>228600</xdr:colOff>
                    <xdr:row>5</xdr:row>
                    <xdr:rowOff>85725</xdr:rowOff>
                  </from>
                  <to>
                    <xdr:col>1</xdr:col>
                    <xdr:colOff>2009775</xdr:colOff>
                    <xdr:row>7</xdr:row>
                    <xdr:rowOff>28575</xdr:rowOff>
                  </to>
                </anchor>
              </controlPr>
            </control>
          </mc:Choice>
        </mc:AlternateContent>
        <mc:AlternateContent xmlns:mc="http://schemas.openxmlformats.org/markup-compatibility/2006">
          <mc:Choice Requires="x14">
            <control shapeId="482306" r:id="rId4" name="Button 2">
              <controlPr defaultSize="0" print="0" autoFill="0" autoPict="0" macro="[0]!UpdateTaskSlips">
                <anchor moveWithCells="1" sizeWithCells="1">
                  <from>
                    <xdr:col>1</xdr:col>
                    <xdr:colOff>2247900</xdr:colOff>
                    <xdr:row>5</xdr:row>
                    <xdr:rowOff>85725</xdr:rowOff>
                  </from>
                  <to>
                    <xdr:col>2</xdr:col>
                    <xdr:colOff>304800</xdr:colOff>
                    <xdr:row>7</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C9521-5178-4E1C-A9E7-7F3328484CCE}">
  <dimension ref="A2:AL33"/>
  <sheetViews>
    <sheetView tabSelected="1" topLeftCell="A3" workbookViewId="0">
      <selection activeCell="C21" sqref="C21"/>
    </sheetView>
  </sheetViews>
  <sheetFormatPr defaultRowHeight="12.75"/>
  <cols>
    <col min="1" max="1" width="59.7109375" customWidth="1"/>
  </cols>
  <sheetData>
    <row r="2" spans="1:31">
      <c r="F2">
        <v>12</v>
      </c>
      <c r="G2">
        <v>13</v>
      </c>
      <c r="H2">
        <v>14</v>
      </c>
      <c r="I2">
        <v>15</v>
      </c>
      <c r="J2">
        <v>16</v>
      </c>
      <c r="K2">
        <v>19</v>
      </c>
      <c r="L2">
        <v>20</v>
      </c>
      <c r="M2">
        <v>21</v>
      </c>
      <c r="N2">
        <v>22</v>
      </c>
    </row>
    <row r="4" spans="1:31">
      <c r="A4" s="114" t="s">
        <v>140</v>
      </c>
      <c r="B4">
        <v>10</v>
      </c>
      <c r="C4" s="114" t="s">
        <v>200</v>
      </c>
      <c r="D4" s="115" t="s">
        <v>200</v>
      </c>
      <c r="E4" s="114" t="s">
        <v>141</v>
      </c>
      <c r="F4" s="114" t="s">
        <v>142</v>
      </c>
      <c r="G4" s="114"/>
      <c r="H4" s="114"/>
      <c r="I4" s="114"/>
      <c r="J4" s="114"/>
      <c r="K4" s="114"/>
      <c r="L4" s="114"/>
      <c r="M4" s="114"/>
      <c r="N4" s="115" t="s">
        <v>200</v>
      </c>
      <c r="O4" s="115" t="s">
        <v>200</v>
      </c>
      <c r="P4" s="114" t="s">
        <v>200</v>
      </c>
      <c r="Q4" s="115" t="s">
        <v>200</v>
      </c>
      <c r="R4" s="115" t="s">
        <v>200</v>
      </c>
      <c r="S4" s="115" t="s">
        <v>200</v>
      </c>
      <c r="T4" s="115" t="s">
        <v>200</v>
      </c>
      <c r="U4" s="115" t="s">
        <v>200</v>
      </c>
      <c r="V4" s="115" t="s">
        <v>200</v>
      </c>
      <c r="W4" s="115" t="s">
        <v>200</v>
      </c>
      <c r="X4" s="115" t="s">
        <v>200</v>
      </c>
      <c r="Y4" s="115" t="s">
        <v>200</v>
      </c>
      <c r="Z4" s="115" t="s">
        <v>200</v>
      </c>
      <c r="AA4" s="115" t="s">
        <v>200</v>
      </c>
      <c r="AB4" s="115" t="s">
        <v>200</v>
      </c>
      <c r="AC4" s="115" t="s">
        <v>200</v>
      </c>
      <c r="AD4" s="115" t="s">
        <v>200</v>
      </c>
      <c r="AE4" s="1" t="s">
        <v>23</v>
      </c>
    </row>
    <row r="5" spans="1:31">
      <c r="A5" s="114" t="s">
        <v>143</v>
      </c>
      <c r="B5">
        <v>10</v>
      </c>
      <c r="C5" s="114" t="s">
        <v>3</v>
      </c>
      <c r="D5" s="114" t="s">
        <v>144</v>
      </c>
      <c r="E5" s="1">
        <v>36</v>
      </c>
      <c r="F5" s="1">
        <v>0</v>
      </c>
      <c r="G5" s="1"/>
      <c r="H5" s="1"/>
      <c r="I5" s="1"/>
      <c r="J5" s="1"/>
      <c r="K5" s="1"/>
      <c r="L5" s="1"/>
      <c r="M5" s="1"/>
      <c r="N5" s="1"/>
      <c r="O5" s="1"/>
      <c r="P5" s="1"/>
      <c r="Q5" s="1"/>
      <c r="R5" s="1"/>
      <c r="S5" s="1"/>
      <c r="T5" s="1"/>
      <c r="U5" s="1"/>
      <c r="V5" s="1"/>
      <c r="W5" s="1"/>
      <c r="X5" s="1"/>
      <c r="Y5" s="1"/>
      <c r="Z5" s="1"/>
      <c r="AA5" s="1"/>
      <c r="AB5" s="1"/>
      <c r="AC5" s="1"/>
      <c r="AD5" s="1"/>
    </row>
    <row r="6" spans="1:31">
      <c r="A6" s="114" t="s">
        <v>150</v>
      </c>
      <c r="B6" s="114" t="s">
        <v>20</v>
      </c>
      <c r="C6" s="114" t="s">
        <v>151</v>
      </c>
      <c r="D6" s="114" t="s">
        <v>6</v>
      </c>
      <c r="E6" s="114" t="s">
        <v>152</v>
      </c>
      <c r="F6" s="114">
        <v>1</v>
      </c>
      <c r="G6" s="114">
        <v>2</v>
      </c>
      <c r="H6" s="114">
        <v>3</v>
      </c>
      <c r="I6" s="114">
        <v>4</v>
      </c>
      <c r="J6" s="114">
        <v>5</v>
      </c>
      <c r="K6" s="114">
        <v>6</v>
      </c>
      <c r="L6" s="114">
        <v>7</v>
      </c>
      <c r="M6" s="114">
        <v>8</v>
      </c>
      <c r="N6" s="114">
        <v>9</v>
      </c>
      <c r="O6" s="114">
        <v>10</v>
      </c>
      <c r="P6" s="114" t="s">
        <v>200</v>
      </c>
      <c r="Q6" s="114" t="s">
        <v>200</v>
      </c>
      <c r="R6" s="114" t="s">
        <v>200</v>
      </c>
      <c r="S6" s="114" t="s">
        <v>200</v>
      </c>
      <c r="T6" s="114" t="s">
        <v>200</v>
      </c>
      <c r="U6" s="114" t="s">
        <v>200</v>
      </c>
      <c r="V6" s="114" t="s">
        <v>200</v>
      </c>
      <c r="W6" s="114" t="s">
        <v>200</v>
      </c>
      <c r="X6" s="114" t="s">
        <v>200</v>
      </c>
      <c r="Y6" s="114" t="s">
        <v>200</v>
      </c>
      <c r="Z6" s="114" t="s">
        <v>200</v>
      </c>
      <c r="AA6" s="114" t="s">
        <v>200</v>
      </c>
      <c r="AB6" s="114" t="s">
        <v>200</v>
      </c>
      <c r="AC6" s="114" t="s">
        <v>200</v>
      </c>
      <c r="AD6" s="114" t="s">
        <v>200</v>
      </c>
    </row>
    <row r="7" spans="1:31">
      <c r="A7" s="72" t="s">
        <v>180</v>
      </c>
      <c r="B7" s="72">
        <v>9</v>
      </c>
      <c r="C7" s="72" t="s">
        <v>166</v>
      </c>
      <c r="D7" s="72" t="s">
        <v>26</v>
      </c>
      <c r="E7" s="116">
        <v>0</v>
      </c>
      <c r="F7" s="116">
        <v>0</v>
      </c>
      <c r="G7" s="116">
        <v>0</v>
      </c>
      <c r="H7" s="116">
        <v>0</v>
      </c>
      <c r="I7" s="116">
        <v>0</v>
      </c>
      <c r="J7" s="116">
        <v>0</v>
      </c>
      <c r="K7" s="116">
        <v>0</v>
      </c>
      <c r="L7" s="116">
        <v>0</v>
      </c>
      <c r="M7" s="116">
        <v>0</v>
      </c>
      <c r="N7" s="116">
        <v>0</v>
      </c>
      <c r="O7" s="116">
        <v>0</v>
      </c>
      <c r="P7" s="117"/>
      <c r="Q7" s="116"/>
      <c r="R7" s="116"/>
      <c r="S7" s="116"/>
      <c r="T7" s="116"/>
      <c r="U7" s="116"/>
      <c r="V7" s="116"/>
      <c r="W7" s="116"/>
      <c r="X7" s="116"/>
      <c r="Y7" s="116"/>
      <c r="Z7" s="116"/>
      <c r="AA7" s="116"/>
      <c r="AB7" s="116"/>
      <c r="AC7" s="116"/>
      <c r="AD7" s="116"/>
    </row>
    <row r="8" spans="1:31">
      <c r="A8" s="72" t="s">
        <v>181</v>
      </c>
      <c r="B8" s="72">
        <v>9</v>
      </c>
      <c r="C8" s="72" t="s">
        <v>157</v>
      </c>
      <c r="D8" s="72" t="s">
        <v>26</v>
      </c>
      <c r="E8" s="116">
        <v>3</v>
      </c>
      <c r="F8" s="116">
        <v>3</v>
      </c>
      <c r="G8" s="116">
        <v>3</v>
      </c>
      <c r="H8" s="116">
        <v>3</v>
      </c>
      <c r="I8" s="116">
        <v>3</v>
      </c>
      <c r="J8" s="116">
        <v>3</v>
      </c>
      <c r="K8" s="116">
        <v>0</v>
      </c>
      <c r="L8" s="116">
        <v>0</v>
      </c>
      <c r="M8" s="116">
        <v>0</v>
      </c>
      <c r="N8" s="116">
        <v>0</v>
      </c>
      <c r="O8" s="116">
        <v>0</v>
      </c>
      <c r="P8" s="117"/>
      <c r="Q8" s="116"/>
      <c r="R8" s="116"/>
      <c r="S8" s="116"/>
      <c r="T8" s="116"/>
      <c r="U8" s="116"/>
      <c r="V8" s="116"/>
      <c r="W8" s="116"/>
      <c r="X8" s="116"/>
      <c r="Y8" s="116"/>
      <c r="Z8" s="116"/>
      <c r="AA8" s="116"/>
      <c r="AB8" s="116"/>
      <c r="AC8" s="116"/>
      <c r="AD8" s="116"/>
    </row>
    <row r="9" spans="1:31">
      <c r="A9" s="72" t="s">
        <v>182</v>
      </c>
      <c r="B9" s="72">
        <v>9</v>
      </c>
      <c r="C9" s="72" t="s">
        <v>166</v>
      </c>
      <c r="D9" s="72" t="s">
        <v>26</v>
      </c>
      <c r="E9" s="116">
        <v>0</v>
      </c>
      <c r="F9" s="116">
        <v>0</v>
      </c>
      <c r="G9" s="116">
        <v>0</v>
      </c>
      <c r="H9" s="116">
        <v>0</v>
      </c>
      <c r="I9" s="116">
        <v>0</v>
      </c>
      <c r="J9" s="116">
        <v>0</v>
      </c>
      <c r="K9" s="116">
        <v>0</v>
      </c>
      <c r="L9" s="116">
        <v>0</v>
      </c>
      <c r="M9" s="116">
        <v>0</v>
      </c>
      <c r="N9" s="116">
        <v>0</v>
      </c>
      <c r="O9" s="116">
        <v>0</v>
      </c>
      <c r="P9" s="117"/>
      <c r="Q9" s="116"/>
      <c r="R9" s="116"/>
      <c r="S9" s="116"/>
      <c r="T9" s="116"/>
      <c r="U9" s="116"/>
      <c r="V9" s="116"/>
      <c r="W9" s="116"/>
      <c r="X9" s="116"/>
      <c r="Y9" s="116"/>
      <c r="Z9" s="116"/>
      <c r="AA9" s="116"/>
      <c r="AB9" s="116"/>
      <c r="AC9" s="116"/>
      <c r="AD9" s="116"/>
    </row>
    <row r="10" spans="1:31">
      <c r="A10" s="72" t="s">
        <v>201</v>
      </c>
      <c r="B10" s="72">
        <v>9</v>
      </c>
      <c r="C10" s="72" t="s">
        <v>157</v>
      </c>
      <c r="D10" s="72" t="s">
        <v>26</v>
      </c>
      <c r="E10" s="118">
        <v>3</v>
      </c>
      <c r="F10" s="118">
        <v>3</v>
      </c>
      <c r="G10" s="118">
        <v>3</v>
      </c>
      <c r="H10" s="118">
        <v>3</v>
      </c>
      <c r="I10" s="118">
        <v>3</v>
      </c>
      <c r="J10" s="118">
        <v>3</v>
      </c>
      <c r="K10" s="118">
        <v>0</v>
      </c>
      <c r="L10" s="118">
        <v>0</v>
      </c>
      <c r="M10" s="118">
        <v>0</v>
      </c>
      <c r="N10" s="118">
        <v>0</v>
      </c>
      <c r="O10" s="118">
        <v>0</v>
      </c>
      <c r="P10" s="116"/>
      <c r="Q10" s="116"/>
      <c r="R10" s="116"/>
      <c r="S10" s="116"/>
      <c r="T10" s="116"/>
      <c r="U10" s="116"/>
      <c r="V10" s="116"/>
      <c r="W10" s="116"/>
      <c r="X10" s="116"/>
      <c r="Y10" s="116"/>
      <c r="Z10" s="116"/>
      <c r="AA10" s="116"/>
      <c r="AB10" s="116"/>
      <c r="AC10" s="116"/>
      <c r="AD10" s="116"/>
    </row>
    <row r="11" spans="1:31">
      <c r="A11" s="72" t="s">
        <v>193</v>
      </c>
      <c r="B11" s="72">
        <v>25</v>
      </c>
      <c r="C11" s="72" t="s">
        <v>166</v>
      </c>
      <c r="D11" s="72" t="s">
        <v>26</v>
      </c>
      <c r="E11" s="116">
        <v>0</v>
      </c>
      <c r="F11" s="116">
        <v>0</v>
      </c>
      <c r="G11" s="116">
        <v>0</v>
      </c>
      <c r="H11" s="116">
        <v>0</v>
      </c>
      <c r="I11" s="116">
        <v>0</v>
      </c>
      <c r="J11" s="116">
        <v>0</v>
      </c>
      <c r="K11" s="116">
        <v>0</v>
      </c>
      <c r="L11" s="116">
        <v>0</v>
      </c>
      <c r="M11" s="116">
        <v>0</v>
      </c>
      <c r="N11" s="116">
        <v>0</v>
      </c>
      <c r="O11" s="116">
        <v>0</v>
      </c>
      <c r="P11" s="117"/>
      <c r="Q11" s="116"/>
      <c r="R11" s="116"/>
      <c r="S11" s="116"/>
      <c r="T11" s="116"/>
      <c r="U11" s="116"/>
      <c r="V11" s="116"/>
      <c r="W11" s="116"/>
      <c r="X11" s="116"/>
      <c r="Y11" s="116"/>
      <c r="Z11" s="116"/>
      <c r="AA11" s="116"/>
      <c r="AB11" s="116"/>
      <c r="AC11" s="116"/>
      <c r="AD11" s="116"/>
    </row>
    <row r="12" spans="1:31">
      <c r="A12" s="72" t="s">
        <v>194</v>
      </c>
      <c r="B12" s="72">
        <v>25</v>
      </c>
      <c r="C12" s="72" t="s">
        <v>166</v>
      </c>
      <c r="D12" s="72" t="s">
        <v>26</v>
      </c>
      <c r="E12" s="116">
        <v>0</v>
      </c>
      <c r="F12" s="116">
        <v>0</v>
      </c>
      <c r="G12" s="116">
        <v>0</v>
      </c>
      <c r="H12" s="116">
        <v>0</v>
      </c>
      <c r="I12" s="116">
        <v>0</v>
      </c>
      <c r="J12" s="116">
        <v>0</v>
      </c>
      <c r="K12" s="116">
        <v>0</v>
      </c>
      <c r="L12" s="116">
        <v>0</v>
      </c>
      <c r="M12" s="116">
        <v>0</v>
      </c>
      <c r="N12" s="116">
        <v>0</v>
      </c>
      <c r="O12" s="116">
        <v>0</v>
      </c>
      <c r="P12" s="117"/>
      <c r="Q12" s="116"/>
      <c r="R12" s="116"/>
      <c r="S12" s="116"/>
      <c r="T12" s="116"/>
      <c r="U12" s="116"/>
      <c r="V12" s="116"/>
      <c r="W12" s="116"/>
      <c r="X12" s="116"/>
      <c r="Y12" s="116"/>
      <c r="Z12" s="116"/>
      <c r="AA12" s="116"/>
      <c r="AB12" s="116"/>
      <c r="AC12" s="116"/>
      <c r="AD12" s="116"/>
    </row>
    <row r="13" spans="1:31">
      <c r="A13" s="72" t="s">
        <v>202</v>
      </c>
      <c r="B13" s="72"/>
      <c r="C13" s="72"/>
      <c r="D13" s="72"/>
      <c r="E13" s="116">
        <v>8</v>
      </c>
      <c r="F13" s="116">
        <v>8</v>
      </c>
      <c r="G13" s="116">
        <v>8</v>
      </c>
      <c r="H13" s="116">
        <v>8</v>
      </c>
      <c r="I13" s="116">
        <v>3</v>
      </c>
      <c r="J13" s="116">
        <v>1.5</v>
      </c>
      <c r="K13" s="116">
        <v>0</v>
      </c>
      <c r="L13" s="116">
        <v>0</v>
      </c>
      <c r="M13" s="116">
        <v>0</v>
      </c>
      <c r="N13" s="116">
        <v>0</v>
      </c>
      <c r="O13" s="116">
        <v>0</v>
      </c>
      <c r="P13" s="117"/>
      <c r="Q13" s="116"/>
      <c r="R13" s="116"/>
      <c r="S13" s="116"/>
      <c r="T13" s="116"/>
      <c r="U13" s="116"/>
      <c r="V13" s="116"/>
      <c r="W13" s="116"/>
      <c r="X13" s="116"/>
      <c r="Y13" s="116"/>
      <c r="Z13" s="116"/>
      <c r="AA13" s="116"/>
      <c r="AB13" s="116"/>
      <c r="AC13" s="116"/>
      <c r="AD13" s="116"/>
    </row>
    <row r="14" spans="1:31">
      <c r="A14" s="72" t="s">
        <v>203</v>
      </c>
      <c r="B14" s="72">
        <v>25</v>
      </c>
      <c r="C14" s="72" t="s">
        <v>154</v>
      </c>
      <c r="D14" s="72" t="s">
        <v>26</v>
      </c>
      <c r="E14">
        <v>5</v>
      </c>
      <c r="F14">
        <v>5</v>
      </c>
      <c r="G14">
        <v>5</v>
      </c>
      <c r="H14">
        <v>5</v>
      </c>
      <c r="I14">
        <v>5</v>
      </c>
      <c r="J14">
        <v>5</v>
      </c>
      <c r="K14">
        <v>3</v>
      </c>
      <c r="L14">
        <v>2</v>
      </c>
      <c r="M14">
        <v>0</v>
      </c>
      <c r="N14">
        <v>0</v>
      </c>
      <c r="O14">
        <v>0</v>
      </c>
      <c r="P14" s="72"/>
    </row>
    <row r="15" spans="1:31">
      <c r="A15" s="72" t="s">
        <v>204</v>
      </c>
      <c r="B15" s="72">
        <v>25</v>
      </c>
      <c r="C15" s="72" t="s">
        <v>161</v>
      </c>
      <c r="D15" s="72" t="s">
        <v>26</v>
      </c>
      <c r="E15" s="121">
        <v>3</v>
      </c>
      <c r="F15" s="121">
        <v>3</v>
      </c>
      <c r="G15" s="121">
        <v>3</v>
      </c>
      <c r="H15" s="121">
        <v>3</v>
      </c>
      <c r="I15" s="121">
        <v>3</v>
      </c>
      <c r="J15" s="121">
        <v>3</v>
      </c>
      <c r="K15" s="121">
        <v>3</v>
      </c>
      <c r="L15" s="121">
        <v>3</v>
      </c>
      <c r="M15" s="121">
        <v>0</v>
      </c>
      <c r="N15" s="121">
        <v>0</v>
      </c>
      <c r="O15" s="121">
        <v>0</v>
      </c>
      <c r="P15" s="72"/>
    </row>
    <row r="16" spans="1:31">
      <c r="A16" s="72" t="s">
        <v>205</v>
      </c>
      <c r="B16" s="72">
        <v>25</v>
      </c>
      <c r="C16" s="72" t="s">
        <v>206</v>
      </c>
      <c r="D16" s="72" t="s">
        <v>26</v>
      </c>
      <c r="E16">
        <v>2</v>
      </c>
      <c r="F16">
        <v>2</v>
      </c>
      <c r="G16">
        <v>2</v>
      </c>
      <c r="H16">
        <v>2</v>
      </c>
      <c r="I16">
        <v>2</v>
      </c>
      <c r="J16">
        <v>2</v>
      </c>
      <c r="K16">
        <v>2</v>
      </c>
      <c r="L16">
        <v>0</v>
      </c>
      <c r="M16">
        <v>0</v>
      </c>
      <c r="N16">
        <v>0</v>
      </c>
      <c r="O16">
        <v>0</v>
      </c>
      <c r="P16" s="72"/>
    </row>
    <row r="17" spans="1:38">
      <c r="A17" s="72" t="s">
        <v>207</v>
      </c>
      <c r="B17" s="72">
        <v>17</v>
      </c>
      <c r="C17" s="72" t="s">
        <v>171</v>
      </c>
      <c r="D17" s="72" t="s">
        <v>26</v>
      </c>
      <c r="E17" s="121">
        <v>4</v>
      </c>
      <c r="F17" s="121">
        <v>4</v>
      </c>
      <c r="G17" s="121">
        <v>4</v>
      </c>
      <c r="H17" s="121">
        <v>4</v>
      </c>
      <c r="I17" s="121">
        <v>4</v>
      </c>
      <c r="J17" s="121">
        <v>4</v>
      </c>
      <c r="K17" s="121">
        <v>4</v>
      </c>
      <c r="L17" s="121">
        <v>4</v>
      </c>
      <c r="M17" s="121">
        <v>4</v>
      </c>
      <c r="N17" s="121">
        <v>0</v>
      </c>
      <c r="O17" s="121">
        <v>0</v>
      </c>
      <c r="P17" s="72"/>
    </row>
    <row r="18" spans="1:38">
      <c r="A18" s="72" t="s">
        <v>208</v>
      </c>
      <c r="B18" s="72">
        <v>17</v>
      </c>
      <c r="C18" s="72" t="s">
        <v>206</v>
      </c>
      <c r="D18" s="72" t="s">
        <v>26</v>
      </c>
      <c r="E18" s="72">
        <v>2</v>
      </c>
      <c r="F18">
        <v>2</v>
      </c>
      <c r="G18">
        <v>2</v>
      </c>
      <c r="H18">
        <v>2</v>
      </c>
      <c r="I18">
        <v>2</v>
      </c>
      <c r="J18">
        <v>2</v>
      </c>
      <c r="K18">
        <v>2</v>
      </c>
      <c r="L18">
        <v>2</v>
      </c>
      <c r="M18">
        <v>2</v>
      </c>
      <c r="N18">
        <v>2</v>
      </c>
      <c r="O18">
        <v>0</v>
      </c>
      <c r="P18" s="72"/>
    </row>
    <row r="19" spans="1:38">
      <c r="A19" s="72" t="s">
        <v>209</v>
      </c>
      <c r="B19" s="72">
        <v>18</v>
      </c>
      <c r="C19" s="72" t="s">
        <v>161</v>
      </c>
      <c r="D19" s="72" t="s">
        <v>26</v>
      </c>
      <c r="E19" s="121">
        <v>3</v>
      </c>
      <c r="F19" s="121">
        <v>3</v>
      </c>
      <c r="G19" s="121">
        <v>3</v>
      </c>
      <c r="H19" s="121">
        <v>3</v>
      </c>
      <c r="I19" s="121">
        <v>3</v>
      </c>
      <c r="J19" s="121">
        <v>3</v>
      </c>
      <c r="K19" s="121">
        <v>3</v>
      </c>
      <c r="L19" s="121">
        <v>3</v>
      </c>
      <c r="M19" s="121">
        <v>3</v>
      </c>
      <c r="N19" s="121">
        <v>3</v>
      </c>
      <c r="O19" s="121">
        <v>0</v>
      </c>
      <c r="P19" s="72"/>
    </row>
    <row r="20" spans="1:38">
      <c r="A20" s="72" t="s">
        <v>210</v>
      </c>
      <c r="B20" s="72">
        <v>18</v>
      </c>
      <c r="C20" s="72" t="s">
        <v>211</v>
      </c>
      <c r="D20" s="72" t="s">
        <v>26</v>
      </c>
      <c r="E20" s="121">
        <v>2</v>
      </c>
      <c r="F20" s="121">
        <v>2</v>
      </c>
      <c r="G20" s="121">
        <v>2</v>
      </c>
      <c r="H20" s="121">
        <v>2</v>
      </c>
      <c r="I20" s="121">
        <v>2</v>
      </c>
      <c r="J20" s="121">
        <v>2</v>
      </c>
      <c r="K20" s="121">
        <v>2</v>
      </c>
      <c r="L20" s="121">
        <v>2</v>
      </c>
      <c r="M20" s="121">
        <v>2</v>
      </c>
      <c r="N20" s="121">
        <v>2</v>
      </c>
      <c r="O20" s="121">
        <v>0</v>
      </c>
      <c r="P20" s="72"/>
    </row>
    <row r="21" spans="1:38">
      <c r="A21" s="72" t="s">
        <v>212</v>
      </c>
      <c r="B21" s="72">
        <v>26</v>
      </c>
      <c r="C21" s="72" t="s">
        <v>213</v>
      </c>
      <c r="D21" s="72" t="s">
        <v>26</v>
      </c>
      <c r="E21" s="121">
        <v>1</v>
      </c>
      <c r="F21" s="121">
        <v>1</v>
      </c>
      <c r="G21" s="121">
        <v>1</v>
      </c>
      <c r="H21" s="121">
        <v>1</v>
      </c>
      <c r="I21" s="121">
        <v>1</v>
      </c>
      <c r="J21" s="121">
        <v>1</v>
      </c>
      <c r="K21" s="121">
        <v>1</v>
      </c>
      <c r="L21" s="121">
        <v>1</v>
      </c>
      <c r="M21" s="121">
        <v>1</v>
      </c>
      <c r="N21" s="121">
        <v>0</v>
      </c>
      <c r="O21" s="121">
        <v>0</v>
      </c>
      <c r="P21" s="72"/>
    </row>
    <row r="22" spans="1:38">
      <c r="A22" s="119" t="s">
        <v>214</v>
      </c>
      <c r="B22" s="72">
        <v>26</v>
      </c>
      <c r="C22" s="72" t="s">
        <v>215</v>
      </c>
      <c r="D22" s="72" t="s">
        <v>15</v>
      </c>
      <c r="E22">
        <v>1</v>
      </c>
      <c r="F22">
        <v>1</v>
      </c>
      <c r="G22">
        <v>1</v>
      </c>
      <c r="H22">
        <v>1</v>
      </c>
      <c r="I22">
        <v>1</v>
      </c>
      <c r="J22">
        <v>1</v>
      </c>
      <c r="K22">
        <v>1</v>
      </c>
      <c r="L22">
        <v>1</v>
      </c>
      <c r="M22">
        <v>1</v>
      </c>
      <c r="N22">
        <v>1</v>
      </c>
      <c r="O22">
        <v>0</v>
      </c>
    </row>
    <row r="23" spans="1:38" ht="12.75" customHeight="1">
      <c r="A23" s="71" t="s">
        <v>216</v>
      </c>
      <c r="B23" s="72">
        <v>26</v>
      </c>
      <c r="C23" s="72" t="s">
        <v>171</v>
      </c>
      <c r="D23" s="72" t="s">
        <v>15</v>
      </c>
      <c r="E23">
        <v>1</v>
      </c>
      <c r="F23">
        <v>1</v>
      </c>
      <c r="G23">
        <v>1</v>
      </c>
      <c r="H23">
        <v>1</v>
      </c>
      <c r="I23">
        <v>1</v>
      </c>
      <c r="J23">
        <v>1</v>
      </c>
      <c r="K23">
        <v>1</v>
      </c>
      <c r="L23">
        <v>0</v>
      </c>
      <c r="M23">
        <v>0</v>
      </c>
      <c r="N23">
        <v>0</v>
      </c>
      <c r="O23">
        <v>0</v>
      </c>
      <c r="AE23" s="125"/>
      <c r="AF23" s="125"/>
      <c r="AG23" s="125"/>
      <c r="AH23" s="125"/>
      <c r="AI23" s="125"/>
      <c r="AJ23" s="125"/>
      <c r="AK23" s="125"/>
      <c r="AL23" s="125"/>
    </row>
    <row r="24" spans="1:38" ht="24">
      <c r="A24" s="71" t="s">
        <v>217</v>
      </c>
      <c r="B24" s="72">
        <v>26</v>
      </c>
      <c r="C24" s="72" t="s">
        <v>171</v>
      </c>
      <c r="D24" s="72" t="s">
        <v>15</v>
      </c>
      <c r="E24">
        <v>1</v>
      </c>
      <c r="F24">
        <v>1</v>
      </c>
      <c r="G24">
        <v>1</v>
      </c>
      <c r="H24">
        <v>1</v>
      </c>
      <c r="I24">
        <v>1</v>
      </c>
      <c r="J24">
        <v>1</v>
      </c>
      <c r="K24">
        <v>1</v>
      </c>
      <c r="L24">
        <v>0</v>
      </c>
      <c r="M24">
        <v>0</v>
      </c>
      <c r="N24">
        <v>0</v>
      </c>
      <c r="O24">
        <v>0</v>
      </c>
      <c r="P24" s="72"/>
    </row>
    <row r="25" spans="1:38">
      <c r="A25" s="71" t="s">
        <v>218</v>
      </c>
      <c r="B25" s="72">
        <v>27</v>
      </c>
      <c r="C25" s="72" t="s">
        <v>166</v>
      </c>
      <c r="D25" s="72" t="s">
        <v>26</v>
      </c>
      <c r="E25">
        <v>1</v>
      </c>
      <c r="F25">
        <v>1</v>
      </c>
      <c r="G25">
        <v>1</v>
      </c>
      <c r="H25">
        <v>1</v>
      </c>
      <c r="I25">
        <v>1</v>
      </c>
      <c r="J25">
        <v>1</v>
      </c>
      <c r="K25">
        <v>1</v>
      </c>
      <c r="L25">
        <v>0</v>
      </c>
      <c r="M25">
        <v>0</v>
      </c>
      <c r="N25">
        <v>0</v>
      </c>
      <c r="O25">
        <v>0</v>
      </c>
    </row>
    <row r="26" spans="1:38" ht="15">
      <c r="A26" s="120" t="s">
        <v>219</v>
      </c>
      <c r="B26" s="72">
        <v>27</v>
      </c>
      <c r="C26" s="72" t="s">
        <v>206</v>
      </c>
      <c r="D26" s="72" t="s">
        <v>26</v>
      </c>
      <c r="E26">
        <v>2</v>
      </c>
      <c r="F26">
        <v>2</v>
      </c>
      <c r="G26">
        <v>2</v>
      </c>
      <c r="H26">
        <v>2</v>
      </c>
      <c r="I26">
        <v>2</v>
      </c>
      <c r="J26">
        <v>2</v>
      </c>
      <c r="K26">
        <v>2</v>
      </c>
      <c r="L26">
        <v>0</v>
      </c>
      <c r="M26">
        <v>0</v>
      </c>
      <c r="N26">
        <v>0</v>
      </c>
      <c r="O26">
        <v>0</v>
      </c>
    </row>
    <row r="27" spans="1:38">
      <c r="B27" s="72"/>
      <c r="C27" s="72"/>
      <c r="D27" s="72"/>
    </row>
    <row r="28" spans="1:38">
      <c r="A28" s="72"/>
      <c r="B28" s="72"/>
      <c r="C28" s="72"/>
      <c r="D28" s="72"/>
    </row>
    <row r="29" spans="1:38">
      <c r="A29" s="71"/>
      <c r="B29" s="72"/>
      <c r="C29" s="72"/>
      <c r="D29" s="72"/>
      <c r="E29" t="s">
        <v>220</v>
      </c>
    </row>
    <row r="30" spans="1:38">
      <c r="A30" s="72"/>
      <c r="B30" s="72"/>
      <c r="C30" s="72"/>
      <c r="D30" s="72"/>
    </row>
    <row r="31" spans="1:38">
      <c r="A31" s="71"/>
      <c r="B31" s="72"/>
      <c r="C31" s="72"/>
      <c r="D31" s="72"/>
    </row>
    <row r="32" spans="1:38">
      <c r="A32" s="71"/>
      <c r="B32" s="72"/>
      <c r="C32" s="72"/>
      <c r="D32" s="72"/>
    </row>
    <row r="33" spans="1:4">
      <c r="A33" s="72"/>
      <c r="B33" s="72"/>
      <c r="C33" s="72"/>
      <c r="D33" s="72"/>
    </row>
  </sheetData>
  <mergeCells count="1">
    <mergeCell ref="AE23:AL2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D64"/>
  <sheetViews>
    <sheetView workbookViewId="0">
      <pane ySplit="14" topLeftCell="A28" activePane="bottomLeft" state="frozen"/>
      <selection pane="bottomLeft" activeCell="A28" sqref="A28"/>
    </sheetView>
  </sheetViews>
  <sheetFormatPr defaultColWidth="8.85546875" defaultRowHeight="12.75"/>
  <cols>
    <col min="1" max="1" width="38.42578125" customWidth="1"/>
    <col min="2" max="2" width="8.42578125" style="2" customWidth="1"/>
    <col min="3" max="3" width="13.7109375" customWidth="1"/>
    <col min="4" max="4" width="10.85546875" customWidth="1"/>
    <col min="5" max="5" width="6.42578125" style="2" customWidth="1"/>
    <col min="6" max="30" width="4.42578125" style="2" customWidth="1"/>
  </cols>
  <sheetData>
    <row r="1" spans="1:30" ht="18">
      <c r="A1" s="106">
        <v>1</v>
      </c>
      <c r="B1" s="107"/>
      <c r="E1"/>
      <c r="F1"/>
      <c r="G1"/>
      <c r="H1"/>
      <c r="I1"/>
      <c r="J1"/>
      <c r="K1"/>
      <c r="L1"/>
      <c r="M1"/>
      <c r="N1"/>
      <c r="O1"/>
      <c r="P1"/>
      <c r="Q1"/>
      <c r="R1"/>
      <c r="S1"/>
      <c r="T1"/>
      <c r="U1"/>
      <c r="V1"/>
      <c r="W1"/>
      <c r="X1"/>
      <c r="Y1"/>
      <c r="Z1"/>
      <c r="AA1"/>
      <c r="AB1"/>
      <c r="AC1"/>
      <c r="AD1"/>
    </row>
    <row r="2" spans="1:30">
      <c r="E2"/>
      <c r="F2"/>
      <c r="G2"/>
      <c r="H2"/>
      <c r="I2"/>
      <c r="J2"/>
      <c r="K2"/>
      <c r="L2"/>
      <c r="M2"/>
      <c r="N2"/>
      <c r="O2"/>
      <c r="P2"/>
      <c r="Q2"/>
      <c r="R2"/>
      <c r="S2"/>
      <c r="T2"/>
      <c r="U2"/>
      <c r="V2"/>
      <c r="W2"/>
      <c r="X2"/>
      <c r="Y2"/>
      <c r="Z2"/>
      <c r="AA2"/>
      <c r="AB2"/>
      <c r="AC2"/>
      <c r="AD2"/>
    </row>
    <row r="9" spans="1:30">
      <c r="A9" s="16" t="s">
        <v>140</v>
      </c>
      <c r="B9" s="2">
        <v>5</v>
      </c>
      <c r="C9" s="16"/>
      <c r="D9" s="14"/>
      <c r="E9" s="16" t="s">
        <v>141</v>
      </c>
      <c r="F9" s="16" t="s">
        <v>142</v>
      </c>
      <c r="G9" s="16"/>
      <c r="H9" s="16"/>
      <c r="I9" s="16"/>
      <c r="J9" s="16"/>
      <c r="K9" s="16"/>
      <c r="L9" s="16"/>
      <c r="M9" s="14"/>
      <c r="N9" s="14"/>
      <c r="O9" s="14"/>
      <c r="P9" s="14"/>
      <c r="Q9" s="14"/>
      <c r="R9" s="14"/>
      <c r="S9" s="14"/>
      <c r="T9" s="14"/>
      <c r="U9" s="14"/>
      <c r="V9" s="14"/>
      <c r="W9" s="14"/>
      <c r="X9" s="14"/>
      <c r="Y9" s="14"/>
      <c r="Z9" s="14"/>
      <c r="AA9" s="14"/>
      <c r="AB9" s="14"/>
      <c r="AC9" s="14"/>
      <c r="AD9" s="14"/>
    </row>
    <row r="10" spans="1:30">
      <c r="A10" s="16" t="s">
        <v>143</v>
      </c>
      <c r="B10" s="2">
        <v>5</v>
      </c>
      <c r="C10" s="16" t="s">
        <v>3</v>
      </c>
      <c r="D10" s="16" t="s">
        <v>144</v>
      </c>
      <c r="E10" s="15">
        <f ca="1">SUM(OFFSET(E14,1,0,TaskRows,1))</f>
        <v>0</v>
      </c>
      <c r="F10" s="15">
        <f ca="1">IF(AND(SUM(OFFSET(F14,1,0,TaskRows,1))=0),0,SUM(OFFSET(F14,1,0,TaskRows,1)))</f>
        <v>0</v>
      </c>
      <c r="G10" s="15" t="str">
        <f t="shared" ref="G10:AD10" ca="1" si="0">IF(AND(SUM(OFFSET(G14,1,0,TaskRows,1))=0),"",SUM(OFFSET(G14,1,0,TaskRows,1)))</f>
        <v/>
      </c>
      <c r="H10" s="15" t="str">
        <f t="shared" ca="1" si="0"/>
        <v/>
      </c>
      <c r="I10" s="15" t="str">
        <f t="shared" ca="1" si="0"/>
        <v/>
      </c>
      <c r="J10" s="15" t="str">
        <f t="shared" ca="1" si="0"/>
        <v/>
      </c>
      <c r="K10" s="15" t="str">
        <f t="shared" ca="1" si="0"/>
        <v/>
      </c>
      <c r="L10" s="15" t="str">
        <f t="shared" ca="1" si="0"/>
        <v/>
      </c>
      <c r="M10" s="15" t="str">
        <f t="shared" ca="1" si="0"/>
        <v/>
      </c>
      <c r="N10" s="15" t="str">
        <f t="shared" ca="1" si="0"/>
        <v/>
      </c>
      <c r="O10" s="15" t="str">
        <f t="shared" ca="1" si="0"/>
        <v/>
      </c>
      <c r="P10" s="15" t="str">
        <f t="shared" ca="1" si="0"/>
        <v/>
      </c>
      <c r="Q10" s="15" t="str">
        <f t="shared" ca="1" si="0"/>
        <v/>
      </c>
      <c r="R10" s="15" t="str">
        <f t="shared" ca="1" si="0"/>
        <v/>
      </c>
      <c r="S10" s="15" t="str">
        <f t="shared" ca="1" si="0"/>
        <v/>
      </c>
      <c r="T10" s="15" t="str">
        <f t="shared" ca="1" si="0"/>
        <v/>
      </c>
      <c r="U10" s="15" t="str">
        <f t="shared" ca="1" si="0"/>
        <v/>
      </c>
      <c r="V10" s="15" t="str">
        <f t="shared" ca="1" si="0"/>
        <v/>
      </c>
      <c r="W10" s="15" t="str">
        <f t="shared" ca="1" si="0"/>
        <v/>
      </c>
      <c r="X10" s="15" t="str">
        <f t="shared" ca="1" si="0"/>
        <v/>
      </c>
      <c r="Y10" s="15" t="str">
        <f t="shared" ca="1" si="0"/>
        <v/>
      </c>
      <c r="Z10" s="15" t="str">
        <f t="shared" ca="1" si="0"/>
        <v/>
      </c>
      <c r="AA10" s="15" t="str">
        <f t="shared" ca="1" si="0"/>
        <v/>
      </c>
      <c r="AB10" s="15" t="str">
        <f t="shared" ca="1" si="0"/>
        <v/>
      </c>
      <c r="AC10" s="15" t="str">
        <f t="shared" ca="1" si="0"/>
        <v/>
      </c>
      <c r="AD10" s="15" t="str">
        <f t="shared" ca="1" si="0"/>
        <v/>
      </c>
    </row>
    <row r="11" spans="1:30" hidden="1">
      <c r="A11" t="s">
        <v>145</v>
      </c>
      <c r="B11" s="2">
        <f>IF(COUNTA(A15:A242)=0,1,COUNTA(A15:A242))</f>
        <v>1</v>
      </c>
      <c r="C11" t="s">
        <v>146</v>
      </c>
      <c r="D11" s="2">
        <f ca="1">IF(COUNTIF(F10:AD10,"&gt;0")=0,1,COUNTIF(F10:AD10,"&gt;0"))</f>
        <v>1</v>
      </c>
      <c r="F11" s="2">
        <f ca="1">IF(F14="","",$E10-$E10/($B9-1)*(F14-1))</f>
        <v>0</v>
      </c>
      <c r="G11" s="2">
        <f t="shared" ref="G11:AD11" ca="1" si="1">IF(G14="","",TotalEffort-TotalEffort/(ImplementationDays)*(G14-1))</f>
        <v>0</v>
      </c>
      <c r="H11" s="2">
        <f t="shared" ca="1" si="1"/>
        <v>0</v>
      </c>
      <c r="I11" s="2">
        <f t="shared" ca="1" si="1"/>
        <v>0</v>
      </c>
      <c r="J11" s="2">
        <f t="shared" ca="1" si="1"/>
        <v>0</v>
      </c>
      <c r="K11" s="2" t="str">
        <f t="shared" ca="1" si="1"/>
        <v/>
      </c>
      <c r="L11" s="2" t="str">
        <f t="shared" ca="1" si="1"/>
        <v/>
      </c>
      <c r="M11" s="2" t="str">
        <f t="shared" ca="1" si="1"/>
        <v/>
      </c>
      <c r="N11" s="2" t="str">
        <f t="shared" ca="1" si="1"/>
        <v/>
      </c>
      <c r="O11" s="2" t="str">
        <f t="shared" ca="1" si="1"/>
        <v/>
      </c>
      <c r="P11" s="2" t="str">
        <f t="shared" ca="1" si="1"/>
        <v/>
      </c>
      <c r="Q11" s="2" t="str">
        <f t="shared" ca="1" si="1"/>
        <v/>
      </c>
      <c r="R11" s="2" t="str">
        <f t="shared" ca="1" si="1"/>
        <v/>
      </c>
      <c r="S11" s="2" t="str">
        <f t="shared" ca="1" si="1"/>
        <v/>
      </c>
      <c r="T11" s="2" t="str">
        <f t="shared" ca="1" si="1"/>
        <v/>
      </c>
      <c r="U11" s="2" t="str">
        <f t="shared" ca="1" si="1"/>
        <v/>
      </c>
      <c r="V11" s="2" t="str">
        <f t="shared" ca="1" si="1"/>
        <v/>
      </c>
      <c r="W11" s="2" t="str">
        <f t="shared" ca="1" si="1"/>
        <v/>
      </c>
      <c r="X11" s="2" t="str">
        <f t="shared" ca="1" si="1"/>
        <v/>
      </c>
      <c r="Y11" s="2" t="str">
        <f t="shared" ca="1" si="1"/>
        <v/>
      </c>
      <c r="Z11" s="2" t="str">
        <f t="shared" ca="1" si="1"/>
        <v/>
      </c>
      <c r="AA11" s="2" t="str">
        <f t="shared" ca="1" si="1"/>
        <v/>
      </c>
      <c r="AB11" s="2" t="str">
        <f t="shared" ca="1" si="1"/>
        <v/>
      </c>
      <c r="AC11" s="2" t="str">
        <f t="shared" ca="1" si="1"/>
        <v/>
      </c>
      <c r="AD11" s="2" t="str">
        <f t="shared" ca="1" si="1"/>
        <v/>
      </c>
    </row>
    <row r="12" spans="1:30" hidden="1">
      <c r="A12" s="47" t="s">
        <v>147</v>
      </c>
      <c r="B12"/>
      <c r="C12" t="s">
        <v>111</v>
      </c>
      <c r="D12" s="2"/>
      <c r="F12" s="2">
        <f t="shared" ref="F12:AD12" ca="1" si="2">IF(TREND(OFFSET($F10,0,DoneDays-TrendDays,1,TrendDays),OFFSET($F13,0,DoneDays-TrendDays,1,TrendDays),F13)&lt;0,"",TREND(OFFSET($F10,0,DoneDays-TrendDays,1,TrendDays),OFFSET($F13,0,DoneDays-TrendDays,1,TrendDays),F13))</f>
        <v>0</v>
      </c>
      <c r="G12" s="2">
        <f t="shared" ca="1" si="2"/>
        <v>0</v>
      </c>
      <c r="H12" s="2">
        <f t="shared" ca="1" si="2"/>
        <v>0</v>
      </c>
      <c r="I12" s="2">
        <f t="shared" ca="1" si="2"/>
        <v>0</v>
      </c>
      <c r="J12" s="2">
        <f t="shared" ca="1" si="2"/>
        <v>0</v>
      </c>
      <c r="K12" s="2">
        <f t="shared" ca="1" si="2"/>
        <v>0</v>
      </c>
      <c r="L12" s="2">
        <f t="shared" ca="1" si="2"/>
        <v>0</v>
      </c>
      <c r="M12" s="2">
        <f t="shared" ca="1" si="2"/>
        <v>0</v>
      </c>
      <c r="N12" s="2">
        <f t="shared" ca="1" si="2"/>
        <v>0</v>
      </c>
      <c r="O12" s="2">
        <f t="shared" ca="1" si="2"/>
        <v>0</v>
      </c>
      <c r="P12" s="2">
        <f t="shared" ca="1" si="2"/>
        <v>0</v>
      </c>
      <c r="Q12" s="2">
        <f t="shared" ca="1" si="2"/>
        <v>0</v>
      </c>
      <c r="R12" s="2">
        <f t="shared" ca="1" si="2"/>
        <v>0</v>
      </c>
      <c r="S12" s="2">
        <f t="shared" ca="1" si="2"/>
        <v>0</v>
      </c>
      <c r="T12" s="2">
        <f t="shared" ca="1" si="2"/>
        <v>0</v>
      </c>
      <c r="U12" s="2">
        <f t="shared" ca="1" si="2"/>
        <v>0</v>
      </c>
      <c r="V12" s="2">
        <f t="shared" ca="1" si="2"/>
        <v>0</v>
      </c>
      <c r="W12" s="2">
        <f t="shared" ca="1" si="2"/>
        <v>0</v>
      </c>
      <c r="X12" s="2">
        <f t="shared" ca="1" si="2"/>
        <v>0</v>
      </c>
      <c r="Y12" s="2">
        <f t="shared" ca="1" si="2"/>
        <v>0</v>
      </c>
      <c r="Z12" s="2">
        <f t="shared" ca="1" si="2"/>
        <v>0</v>
      </c>
      <c r="AA12" s="2">
        <f t="shared" ca="1" si="2"/>
        <v>0</v>
      </c>
      <c r="AB12" s="2">
        <f t="shared" ca="1" si="2"/>
        <v>0</v>
      </c>
      <c r="AC12" s="2">
        <f t="shared" ca="1" si="2"/>
        <v>0</v>
      </c>
      <c r="AD12" s="2">
        <f t="shared" ca="1" si="2"/>
        <v>0</v>
      </c>
    </row>
    <row r="13" spans="1:30" hidden="1">
      <c r="A13" s="47" t="s">
        <v>148</v>
      </c>
      <c r="B13"/>
      <c r="C13" t="s">
        <v>149</v>
      </c>
      <c r="D13" s="2">
        <f ca="1">IF(DoneDays&gt;B10,B10,DoneDays)</f>
        <v>1</v>
      </c>
      <c r="F13" s="2">
        <f ca="1">IF(DoneDays&gt;E13,E13+1,"")</f>
        <v>1</v>
      </c>
      <c r="G13" s="2">
        <v>2</v>
      </c>
      <c r="H13" s="2">
        <v>3</v>
      </c>
      <c r="I13" s="2">
        <v>4</v>
      </c>
      <c r="J13" s="2">
        <v>5</v>
      </c>
      <c r="K13" s="2">
        <v>6</v>
      </c>
      <c r="L13" s="2">
        <v>7</v>
      </c>
      <c r="M13" s="2">
        <v>8</v>
      </c>
      <c r="N13" s="2">
        <v>9</v>
      </c>
      <c r="O13" s="2">
        <v>10</v>
      </c>
      <c r="P13" s="2">
        <v>11</v>
      </c>
      <c r="Q13" s="2">
        <v>12</v>
      </c>
      <c r="R13" s="2">
        <v>13</v>
      </c>
      <c r="S13" s="2">
        <v>14</v>
      </c>
      <c r="T13" s="2">
        <v>15</v>
      </c>
      <c r="U13" s="2">
        <v>16</v>
      </c>
      <c r="V13" s="2">
        <v>17</v>
      </c>
      <c r="W13" s="2">
        <v>18</v>
      </c>
      <c r="X13" s="2">
        <v>19</v>
      </c>
      <c r="Y13" s="2">
        <v>20</v>
      </c>
      <c r="Z13" s="2">
        <v>21</v>
      </c>
      <c r="AA13" s="2">
        <v>22</v>
      </c>
      <c r="AB13" s="2">
        <v>23</v>
      </c>
      <c r="AC13" s="2">
        <v>24</v>
      </c>
      <c r="AD13" s="2">
        <v>25</v>
      </c>
    </row>
    <row r="14" spans="1:30">
      <c r="A14" s="16" t="s">
        <v>150</v>
      </c>
      <c r="B14" s="17" t="s">
        <v>20</v>
      </c>
      <c r="C14" s="16" t="s">
        <v>151</v>
      </c>
      <c r="D14" s="16" t="s">
        <v>6</v>
      </c>
      <c r="E14" s="17" t="s">
        <v>152</v>
      </c>
      <c r="F14" s="17">
        <v>1</v>
      </c>
      <c r="G14" s="17">
        <f t="shared" ref="G14:AD14" si="3">IF($B$9&gt;F14,F14+1,"")</f>
        <v>2</v>
      </c>
      <c r="H14" s="17">
        <f t="shared" si="3"/>
        <v>3</v>
      </c>
      <c r="I14" s="17">
        <f t="shared" si="3"/>
        <v>4</v>
      </c>
      <c r="J14" s="17">
        <f t="shared" si="3"/>
        <v>5</v>
      </c>
      <c r="K14" s="17" t="str">
        <f t="shared" si="3"/>
        <v/>
      </c>
      <c r="L14" s="17" t="str">
        <f t="shared" si="3"/>
        <v/>
      </c>
      <c r="M14" s="17" t="str">
        <f t="shared" si="3"/>
        <v/>
      </c>
      <c r="N14" s="17" t="str">
        <f t="shared" si="3"/>
        <v/>
      </c>
      <c r="O14" s="17" t="str">
        <f t="shared" si="3"/>
        <v/>
      </c>
      <c r="P14" s="17" t="str">
        <f t="shared" si="3"/>
        <v/>
      </c>
      <c r="Q14" s="17" t="str">
        <f t="shared" si="3"/>
        <v/>
      </c>
      <c r="R14" s="17" t="str">
        <f t="shared" si="3"/>
        <v/>
      </c>
      <c r="S14" s="17" t="str">
        <f t="shared" si="3"/>
        <v/>
      </c>
      <c r="T14" s="17" t="str">
        <f t="shared" si="3"/>
        <v/>
      </c>
      <c r="U14" s="17" t="str">
        <f t="shared" si="3"/>
        <v/>
      </c>
      <c r="V14" s="17" t="str">
        <f t="shared" si="3"/>
        <v/>
      </c>
      <c r="W14" s="17" t="str">
        <f t="shared" si="3"/>
        <v/>
      </c>
      <c r="X14" s="17" t="str">
        <f t="shared" si="3"/>
        <v/>
      </c>
      <c r="Y14" s="17" t="str">
        <f t="shared" si="3"/>
        <v/>
      </c>
      <c r="Z14" s="17" t="str">
        <f t="shared" si="3"/>
        <v/>
      </c>
      <c r="AA14" s="17" t="str">
        <f t="shared" si="3"/>
        <v/>
      </c>
      <c r="AB14" s="17" t="str">
        <f t="shared" si="3"/>
        <v/>
      </c>
      <c r="AC14" s="17" t="str">
        <f t="shared" si="3"/>
        <v/>
      </c>
      <c r="AD14" s="17" t="str">
        <f t="shared" si="3"/>
        <v/>
      </c>
    </row>
    <row r="15" spans="1:30">
      <c r="D15" t="str">
        <f t="shared" ref="D15:D59" si="4">IF(A15&lt;&gt;"","Planned","")</f>
        <v/>
      </c>
      <c r="F15" s="2" t="str">
        <f t="shared" ref="F15:F59" si="5">IF(OR(F$14="",$E15=""),"",E15)</f>
        <v/>
      </c>
    </row>
    <row r="16" spans="1:30">
      <c r="D16" t="str">
        <f t="shared" si="4"/>
        <v/>
      </c>
      <c r="F16" s="2" t="str">
        <f t="shared" si="5"/>
        <v/>
      </c>
      <c r="AC16" s="2" t="str">
        <f t="shared" ref="AC16:AD35" si="6">IF(OR(AC$14="",$E16=""),"",AB16)</f>
        <v/>
      </c>
      <c r="AD16" s="2" t="str">
        <f t="shared" si="6"/>
        <v/>
      </c>
    </row>
    <row r="17" spans="4:30">
      <c r="D17" t="str">
        <f t="shared" si="4"/>
        <v/>
      </c>
      <c r="F17" s="2" t="str">
        <f t="shared" si="5"/>
        <v/>
      </c>
      <c r="AC17" s="2" t="str">
        <f t="shared" si="6"/>
        <v/>
      </c>
      <c r="AD17" s="2" t="str">
        <f t="shared" si="6"/>
        <v/>
      </c>
    </row>
    <row r="18" spans="4:30">
      <c r="D18" t="str">
        <f t="shared" si="4"/>
        <v/>
      </c>
      <c r="F18" s="2" t="str">
        <f t="shared" si="5"/>
        <v/>
      </c>
      <c r="AC18" s="2" t="str">
        <f t="shared" si="6"/>
        <v/>
      </c>
      <c r="AD18" s="2" t="str">
        <f t="shared" si="6"/>
        <v/>
      </c>
    </row>
    <row r="19" spans="4:30">
      <c r="D19" t="str">
        <f t="shared" si="4"/>
        <v/>
      </c>
      <c r="F19" s="2" t="str">
        <f t="shared" si="5"/>
        <v/>
      </c>
      <c r="AC19" s="2" t="str">
        <f t="shared" si="6"/>
        <v/>
      </c>
      <c r="AD19" s="2" t="str">
        <f t="shared" si="6"/>
        <v/>
      </c>
    </row>
    <row r="20" spans="4:30">
      <c r="D20" t="str">
        <f t="shared" si="4"/>
        <v/>
      </c>
      <c r="F20" s="2" t="str">
        <f t="shared" si="5"/>
        <v/>
      </c>
      <c r="AC20" s="2" t="str">
        <f t="shared" si="6"/>
        <v/>
      </c>
      <c r="AD20" s="2" t="str">
        <f t="shared" si="6"/>
        <v/>
      </c>
    </row>
    <row r="21" spans="4:30">
      <c r="D21" t="str">
        <f t="shared" si="4"/>
        <v/>
      </c>
      <c r="F21" s="2" t="str">
        <f t="shared" si="5"/>
        <v/>
      </c>
      <c r="AC21" s="2" t="str">
        <f t="shared" si="6"/>
        <v/>
      </c>
      <c r="AD21" s="2" t="str">
        <f t="shared" si="6"/>
        <v/>
      </c>
    </row>
    <row r="22" spans="4:30">
      <c r="D22" t="str">
        <f t="shared" si="4"/>
        <v/>
      </c>
      <c r="F22" s="2" t="str">
        <f t="shared" si="5"/>
        <v/>
      </c>
      <c r="AC22" s="2" t="str">
        <f t="shared" si="6"/>
        <v/>
      </c>
      <c r="AD22" s="2" t="str">
        <f t="shared" si="6"/>
        <v/>
      </c>
    </row>
    <row r="23" spans="4:30">
      <c r="D23" t="str">
        <f t="shared" si="4"/>
        <v/>
      </c>
      <c r="F23" s="2" t="str">
        <f t="shared" si="5"/>
        <v/>
      </c>
      <c r="AC23" s="2" t="str">
        <f t="shared" si="6"/>
        <v/>
      </c>
      <c r="AD23" s="2" t="str">
        <f t="shared" si="6"/>
        <v/>
      </c>
    </row>
    <row r="24" spans="4:30">
      <c r="D24" t="str">
        <f t="shared" si="4"/>
        <v/>
      </c>
      <c r="F24" s="2" t="str">
        <f t="shared" si="5"/>
        <v/>
      </c>
      <c r="AC24" s="2" t="str">
        <f t="shared" si="6"/>
        <v/>
      </c>
      <c r="AD24" s="2" t="str">
        <f t="shared" si="6"/>
        <v/>
      </c>
    </row>
    <row r="25" spans="4:30">
      <c r="D25" t="str">
        <f t="shared" si="4"/>
        <v/>
      </c>
      <c r="F25" s="2" t="str">
        <f t="shared" si="5"/>
        <v/>
      </c>
      <c r="AC25" s="2" t="str">
        <f t="shared" si="6"/>
        <v/>
      </c>
      <c r="AD25" s="2" t="str">
        <f t="shared" si="6"/>
        <v/>
      </c>
    </row>
    <row r="26" spans="4:30">
      <c r="D26" t="str">
        <f t="shared" si="4"/>
        <v/>
      </c>
      <c r="F26" s="2" t="str">
        <f t="shared" si="5"/>
        <v/>
      </c>
      <c r="AC26" s="2" t="str">
        <f t="shared" si="6"/>
        <v/>
      </c>
      <c r="AD26" s="2" t="str">
        <f t="shared" si="6"/>
        <v/>
      </c>
    </row>
    <row r="27" spans="4:30">
      <c r="D27" t="str">
        <f t="shared" si="4"/>
        <v/>
      </c>
      <c r="F27" s="2" t="str">
        <f t="shared" si="5"/>
        <v/>
      </c>
      <c r="AC27" s="2" t="str">
        <f t="shared" si="6"/>
        <v/>
      </c>
      <c r="AD27" s="2" t="str">
        <f t="shared" si="6"/>
        <v/>
      </c>
    </row>
    <row r="28" spans="4:30">
      <c r="D28" t="str">
        <f t="shared" si="4"/>
        <v/>
      </c>
      <c r="F28" s="2" t="str">
        <f t="shared" si="5"/>
        <v/>
      </c>
      <c r="AC28" s="2" t="str">
        <f t="shared" si="6"/>
        <v/>
      </c>
      <c r="AD28" s="2" t="str">
        <f t="shared" si="6"/>
        <v/>
      </c>
    </row>
    <row r="29" spans="4:30">
      <c r="D29" t="str">
        <f t="shared" si="4"/>
        <v/>
      </c>
      <c r="F29" s="2" t="str">
        <f t="shared" si="5"/>
        <v/>
      </c>
      <c r="AC29" s="2" t="str">
        <f t="shared" si="6"/>
        <v/>
      </c>
      <c r="AD29" s="2" t="str">
        <f t="shared" si="6"/>
        <v/>
      </c>
    </row>
    <row r="30" spans="4:30">
      <c r="D30" t="str">
        <f t="shared" si="4"/>
        <v/>
      </c>
      <c r="F30" s="2" t="str">
        <f t="shared" si="5"/>
        <v/>
      </c>
      <c r="AC30" s="2" t="str">
        <f t="shared" si="6"/>
        <v/>
      </c>
      <c r="AD30" s="2" t="str">
        <f t="shared" si="6"/>
        <v/>
      </c>
    </row>
    <row r="31" spans="4:30">
      <c r="D31" t="str">
        <f t="shared" si="4"/>
        <v/>
      </c>
      <c r="F31" s="2" t="str">
        <f t="shared" si="5"/>
        <v/>
      </c>
      <c r="AC31" s="2" t="str">
        <f t="shared" si="6"/>
        <v/>
      </c>
      <c r="AD31" s="2" t="str">
        <f t="shared" si="6"/>
        <v/>
      </c>
    </row>
    <row r="32" spans="4:30">
      <c r="D32" t="str">
        <f t="shared" si="4"/>
        <v/>
      </c>
      <c r="F32" s="2" t="str">
        <f t="shared" si="5"/>
        <v/>
      </c>
      <c r="AC32" s="2" t="str">
        <f t="shared" si="6"/>
        <v/>
      </c>
      <c r="AD32" s="2" t="str">
        <f t="shared" si="6"/>
        <v/>
      </c>
    </row>
    <row r="33" spans="4:30">
      <c r="D33" t="str">
        <f t="shared" si="4"/>
        <v/>
      </c>
      <c r="F33" s="2" t="str">
        <f t="shared" si="5"/>
        <v/>
      </c>
      <c r="AC33" s="2" t="str">
        <f t="shared" si="6"/>
        <v/>
      </c>
      <c r="AD33" s="2" t="str">
        <f t="shared" si="6"/>
        <v/>
      </c>
    </row>
    <row r="34" spans="4:30">
      <c r="D34" t="str">
        <f t="shared" si="4"/>
        <v/>
      </c>
      <c r="F34" s="2" t="str">
        <f t="shared" si="5"/>
        <v/>
      </c>
      <c r="AC34" s="2" t="str">
        <f t="shared" si="6"/>
        <v/>
      </c>
      <c r="AD34" s="2" t="str">
        <f t="shared" si="6"/>
        <v/>
      </c>
    </row>
    <row r="35" spans="4:30">
      <c r="D35" t="str">
        <f t="shared" si="4"/>
        <v/>
      </c>
      <c r="F35" s="2" t="str">
        <f t="shared" si="5"/>
        <v/>
      </c>
      <c r="AC35" s="2" t="str">
        <f t="shared" si="6"/>
        <v/>
      </c>
      <c r="AD35" s="2" t="str">
        <f t="shared" si="6"/>
        <v/>
      </c>
    </row>
    <row r="36" spans="4:30">
      <c r="D36" t="str">
        <f t="shared" si="4"/>
        <v/>
      </c>
      <c r="F36" s="2" t="str">
        <f t="shared" si="5"/>
        <v/>
      </c>
      <c r="AC36" s="2" t="str">
        <f t="shared" ref="AC36:AD55" si="7">IF(OR(AC$14="",$E36=""),"",AB36)</f>
        <v/>
      </c>
      <c r="AD36" s="2" t="str">
        <f t="shared" si="7"/>
        <v/>
      </c>
    </row>
    <row r="37" spans="4:30">
      <c r="D37" t="str">
        <f t="shared" si="4"/>
        <v/>
      </c>
      <c r="F37" s="2" t="str">
        <f t="shared" si="5"/>
        <v/>
      </c>
      <c r="AC37" s="2" t="str">
        <f t="shared" si="7"/>
        <v/>
      </c>
      <c r="AD37" s="2" t="str">
        <f t="shared" si="7"/>
        <v/>
      </c>
    </row>
    <row r="38" spans="4:30">
      <c r="D38" t="str">
        <f t="shared" si="4"/>
        <v/>
      </c>
      <c r="F38" s="2" t="str">
        <f t="shared" si="5"/>
        <v/>
      </c>
      <c r="AC38" s="2" t="str">
        <f t="shared" si="7"/>
        <v/>
      </c>
      <c r="AD38" s="2" t="str">
        <f t="shared" si="7"/>
        <v/>
      </c>
    </row>
    <row r="39" spans="4:30">
      <c r="D39" t="str">
        <f t="shared" si="4"/>
        <v/>
      </c>
      <c r="F39" s="2" t="str">
        <f t="shared" si="5"/>
        <v/>
      </c>
      <c r="AC39" s="2" t="str">
        <f t="shared" si="7"/>
        <v/>
      </c>
      <c r="AD39" s="2" t="str">
        <f t="shared" si="7"/>
        <v/>
      </c>
    </row>
    <row r="40" spans="4:30">
      <c r="D40" t="str">
        <f t="shared" si="4"/>
        <v/>
      </c>
      <c r="F40" s="2" t="str">
        <f t="shared" si="5"/>
        <v/>
      </c>
      <c r="AC40" s="2" t="str">
        <f t="shared" si="7"/>
        <v/>
      </c>
      <c r="AD40" s="2" t="str">
        <f t="shared" si="7"/>
        <v/>
      </c>
    </row>
    <row r="41" spans="4:30">
      <c r="D41" t="str">
        <f t="shared" si="4"/>
        <v/>
      </c>
      <c r="F41" s="2" t="str">
        <f t="shared" si="5"/>
        <v/>
      </c>
      <c r="AC41" s="2" t="str">
        <f t="shared" si="7"/>
        <v/>
      </c>
      <c r="AD41" s="2" t="str">
        <f t="shared" si="7"/>
        <v/>
      </c>
    </row>
    <row r="42" spans="4:30">
      <c r="D42" t="str">
        <f t="shared" si="4"/>
        <v/>
      </c>
      <c r="F42" s="2" t="str">
        <f t="shared" si="5"/>
        <v/>
      </c>
      <c r="AC42" s="2" t="str">
        <f t="shared" si="7"/>
        <v/>
      </c>
      <c r="AD42" s="2" t="str">
        <f t="shared" si="7"/>
        <v/>
      </c>
    </row>
    <row r="43" spans="4:30">
      <c r="D43" t="str">
        <f t="shared" si="4"/>
        <v/>
      </c>
      <c r="F43" s="2" t="str">
        <f t="shared" si="5"/>
        <v/>
      </c>
      <c r="AC43" s="2" t="str">
        <f t="shared" si="7"/>
        <v/>
      </c>
      <c r="AD43" s="2" t="str">
        <f t="shared" si="7"/>
        <v/>
      </c>
    </row>
    <row r="44" spans="4:30">
      <c r="D44" t="str">
        <f t="shared" si="4"/>
        <v/>
      </c>
      <c r="F44" s="2" t="str">
        <f t="shared" si="5"/>
        <v/>
      </c>
      <c r="AC44" s="2" t="str">
        <f t="shared" si="7"/>
        <v/>
      </c>
      <c r="AD44" s="2" t="str">
        <f t="shared" si="7"/>
        <v/>
      </c>
    </row>
    <row r="45" spans="4:30">
      <c r="D45" t="str">
        <f t="shared" si="4"/>
        <v/>
      </c>
      <c r="F45" s="2" t="str">
        <f t="shared" si="5"/>
        <v/>
      </c>
      <c r="AC45" s="2" t="str">
        <f t="shared" si="7"/>
        <v/>
      </c>
      <c r="AD45" s="2" t="str">
        <f t="shared" si="7"/>
        <v/>
      </c>
    </row>
    <row r="46" spans="4:30">
      <c r="D46" t="str">
        <f t="shared" si="4"/>
        <v/>
      </c>
      <c r="F46" s="2" t="str">
        <f t="shared" si="5"/>
        <v/>
      </c>
      <c r="AC46" s="2" t="str">
        <f t="shared" si="7"/>
        <v/>
      </c>
      <c r="AD46" s="2" t="str">
        <f t="shared" si="7"/>
        <v/>
      </c>
    </row>
    <row r="47" spans="4:30">
      <c r="D47" t="str">
        <f t="shared" si="4"/>
        <v/>
      </c>
      <c r="F47" s="2" t="str">
        <f t="shared" si="5"/>
        <v/>
      </c>
      <c r="AC47" s="2" t="str">
        <f t="shared" si="7"/>
        <v/>
      </c>
      <c r="AD47" s="2" t="str">
        <f t="shared" si="7"/>
        <v/>
      </c>
    </row>
    <row r="48" spans="4:30">
      <c r="D48" t="str">
        <f t="shared" si="4"/>
        <v/>
      </c>
      <c r="F48" s="2" t="str">
        <f t="shared" si="5"/>
        <v/>
      </c>
      <c r="AC48" s="2" t="str">
        <f t="shared" si="7"/>
        <v/>
      </c>
      <c r="AD48" s="2" t="str">
        <f t="shared" si="7"/>
        <v/>
      </c>
    </row>
    <row r="49" spans="4:30">
      <c r="D49" t="str">
        <f t="shared" si="4"/>
        <v/>
      </c>
      <c r="F49" s="2" t="str">
        <f t="shared" si="5"/>
        <v/>
      </c>
      <c r="AC49" s="2" t="str">
        <f t="shared" si="7"/>
        <v/>
      </c>
      <c r="AD49" s="2" t="str">
        <f t="shared" si="7"/>
        <v/>
      </c>
    </row>
    <row r="50" spans="4:30">
      <c r="D50" t="str">
        <f t="shared" si="4"/>
        <v/>
      </c>
      <c r="F50" s="2" t="str">
        <f t="shared" si="5"/>
        <v/>
      </c>
      <c r="AC50" s="2" t="str">
        <f t="shared" si="7"/>
        <v/>
      </c>
      <c r="AD50" s="2" t="str">
        <f t="shared" si="7"/>
        <v/>
      </c>
    </row>
    <row r="51" spans="4:30">
      <c r="D51" t="str">
        <f t="shared" si="4"/>
        <v/>
      </c>
      <c r="F51" s="2" t="str">
        <f t="shared" si="5"/>
        <v/>
      </c>
      <c r="AC51" s="2" t="str">
        <f t="shared" si="7"/>
        <v/>
      </c>
      <c r="AD51" s="2" t="str">
        <f t="shared" si="7"/>
        <v/>
      </c>
    </row>
    <row r="52" spans="4:30">
      <c r="D52" t="str">
        <f t="shared" si="4"/>
        <v/>
      </c>
      <c r="F52" s="2" t="str">
        <f t="shared" si="5"/>
        <v/>
      </c>
      <c r="AC52" s="2" t="str">
        <f t="shared" si="7"/>
        <v/>
      </c>
      <c r="AD52" s="2" t="str">
        <f t="shared" si="7"/>
        <v/>
      </c>
    </row>
    <row r="53" spans="4:30">
      <c r="D53" t="str">
        <f t="shared" si="4"/>
        <v/>
      </c>
      <c r="F53" s="2" t="str">
        <f t="shared" si="5"/>
        <v/>
      </c>
      <c r="AC53" s="2" t="str">
        <f t="shared" si="7"/>
        <v/>
      </c>
      <c r="AD53" s="2" t="str">
        <f t="shared" si="7"/>
        <v/>
      </c>
    </row>
    <row r="54" spans="4:30">
      <c r="D54" t="str">
        <f t="shared" si="4"/>
        <v/>
      </c>
      <c r="F54" s="2" t="str">
        <f t="shared" si="5"/>
        <v/>
      </c>
      <c r="AC54" s="2" t="str">
        <f t="shared" si="7"/>
        <v/>
      </c>
      <c r="AD54" s="2" t="str">
        <f t="shared" si="7"/>
        <v/>
      </c>
    </row>
    <row r="55" spans="4:30">
      <c r="D55" t="str">
        <f t="shared" si="4"/>
        <v/>
      </c>
      <c r="F55" s="2" t="str">
        <f t="shared" si="5"/>
        <v/>
      </c>
      <c r="AC55" s="2" t="str">
        <f t="shared" si="7"/>
        <v/>
      </c>
      <c r="AD55" s="2" t="str">
        <f t="shared" si="7"/>
        <v/>
      </c>
    </row>
    <row r="56" spans="4:30">
      <c r="D56" t="str">
        <f t="shared" si="4"/>
        <v/>
      </c>
      <c r="F56" s="2" t="str">
        <f t="shared" si="5"/>
        <v/>
      </c>
      <c r="AC56" s="2" t="str">
        <f t="shared" ref="AC56:AD59" si="8">IF(OR(AC$14="",$E56=""),"",AB56)</f>
        <v/>
      </c>
      <c r="AD56" s="2" t="str">
        <f t="shared" si="8"/>
        <v/>
      </c>
    </row>
    <row r="57" spans="4:30">
      <c r="D57" t="str">
        <f t="shared" si="4"/>
        <v/>
      </c>
      <c r="F57" s="2" t="str">
        <f t="shared" si="5"/>
        <v/>
      </c>
      <c r="AC57" s="2" t="str">
        <f t="shared" si="8"/>
        <v/>
      </c>
      <c r="AD57" s="2" t="str">
        <f t="shared" si="8"/>
        <v/>
      </c>
    </row>
    <row r="58" spans="4:30">
      <c r="D58" t="str">
        <f t="shared" si="4"/>
        <v/>
      </c>
      <c r="F58" s="2" t="str">
        <f t="shared" si="5"/>
        <v/>
      </c>
      <c r="G58" s="2" t="str">
        <f t="shared" ref="G58:AB58" si="9">IF(OR(G$14="",$E58=""),"",F58)</f>
        <v/>
      </c>
      <c r="H58" s="2" t="str">
        <f t="shared" si="9"/>
        <v/>
      </c>
      <c r="I58" s="2" t="str">
        <f t="shared" si="9"/>
        <v/>
      </c>
      <c r="J58" s="2" t="str">
        <f t="shared" si="9"/>
        <v/>
      </c>
      <c r="K58" s="2" t="str">
        <f t="shared" si="9"/>
        <v/>
      </c>
      <c r="L58" s="2" t="str">
        <f t="shared" si="9"/>
        <v/>
      </c>
      <c r="M58" s="2" t="str">
        <f t="shared" si="9"/>
        <v/>
      </c>
      <c r="N58" s="2" t="str">
        <f t="shared" si="9"/>
        <v/>
      </c>
      <c r="O58" s="2" t="str">
        <f t="shared" si="9"/>
        <v/>
      </c>
      <c r="P58" s="2" t="str">
        <f t="shared" si="9"/>
        <v/>
      </c>
      <c r="Q58" s="2" t="str">
        <f t="shared" si="9"/>
        <v/>
      </c>
      <c r="R58" s="2" t="str">
        <f t="shared" si="9"/>
        <v/>
      </c>
      <c r="S58" s="2" t="str">
        <f t="shared" si="9"/>
        <v/>
      </c>
      <c r="T58" s="2" t="str">
        <f t="shared" si="9"/>
        <v/>
      </c>
      <c r="U58" s="2" t="str">
        <f t="shared" si="9"/>
        <v/>
      </c>
      <c r="V58" s="2" t="str">
        <f t="shared" si="9"/>
        <v/>
      </c>
      <c r="W58" s="2" t="str">
        <f t="shared" si="9"/>
        <v/>
      </c>
      <c r="X58" s="2" t="str">
        <f t="shared" si="9"/>
        <v/>
      </c>
      <c r="Y58" s="2" t="str">
        <f t="shared" si="9"/>
        <v/>
      </c>
      <c r="Z58" s="2" t="str">
        <f t="shared" si="9"/>
        <v/>
      </c>
      <c r="AA58" s="2" t="str">
        <f t="shared" si="9"/>
        <v/>
      </c>
      <c r="AB58" s="2" t="str">
        <f t="shared" si="9"/>
        <v/>
      </c>
      <c r="AC58" s="2" t="str">
        <f t="shared" si="8"/>
        <v/>
      </c>
      <c r="AD58" s="2" t="str">
        <f t="shared" si="8"/>
        <v/>
      </c>
    </row>
    <row r="59" spans="4:30">
      <c r="D59" t="str">
        <f t="shared" si="4"/>
        <v/>
      </c>
      <c r="F59" s="2" t="str">
        <f t="shared" si="5"/>
        <v/>
      </c>
      <c r="G59" s="2" t="str">
        <f t="shared" ref="G59:AB59" si="10">IF(OR(G$14="",$E59=""),"",F59)</f>
        <v/>
      </c>
      <c r="H59" s="2" t="str">
        <f t="shared" si="10"/>
        <v/>
      </c>
      <c r="I59" s="2" t="str">
        <f t="shared" si="10"/>
        <v/>
      </c>
      <c r="J59" s="2" t="str">
        <f t="shared" si="10"/>
        <v/>
      </c>
      <c r="K59" s="2" t="str">
        <f t="shared" si="10"/>
        <v/>
      </c>
      <c r="L59" s="2" t="str">
        <f t="shared" si="10"/>
        <v/>
      </c>
      <c r="M59" s="2" t="str">
        <f t="shared" si="10"/>
        <v/>
      </c>
      <c r="N59" s="2" t="str">
        <f t="shared" si="10"/>
        <v/>
      </c>
      <c r="O59" s="2" t="str">
        <f t="shared" si="10"/>
        <v/>
      </c>
      <c r="P59" s="2" t="str">
        <f t="shared" si="10"/>
        <v/>
      </c>
      <c r="Q59" s="2" t="str">
        <f t="shared" si="10"/>
        <v/>
      </c>
      <c r="R59" s="2" t="str">
        <f t="shared" si="10"/>
        <v/>
      </c>
      <c r="S59" s="2" t="str">
        <f t="shared" si="10"/>
        <v/>
      </c>
      <c r="T59" s="2" t="str">
        <f t="shared" si="10"/>
        <v/>
      </c>
      <c r="U59" s="2" t="str">
        <f t="shared" si="10"/>
        <v/>
      </c>
      <c r="V59" s="2" t="str">
        <f t="shared" si="10"/>
        <v/>
      </c>
      <c r="W59" s="2" t="str">
        <f t="shared" si="10"/>
        <v/>
      </c>
      <c r="X59" s="2" t="str">
        <f t="shared" si="10"/>
        <v/>
      </c>
      <c r="Y59" s="2" t="str">
        <f t="shared" si="10"/>
        <v/>
      </c>
      <c r="Z59" s="2" t="str">
        <f t="shared" si="10"/>
        <v/>
      </c>
      <c r="AA59" s="2" t="str">
        <f t="shared" si="10"/>
        <v/>
      </c>
      <c r="AB59" s="2" t="str">
        <f t="shared" si="10"/>
        <v/>
      </c>
      <c r="AC59" s="2" t="str">
        <f t="shared" si="8"/>
        <v/>
      </c>
      <c r="AD59" s="2" t="str">
        <f t="shared" si="8"/>
        <v/>
      </c>
    </row>
    <row r="64" spans="4:30">
      <c r="D64" t="str">
        <f>IF(A64&lt;&gt;"","Planned","")</f>
        <v/>
      </c>
    </row>
  </sheetData>
  <phoneticPr fontId="2" type="noConversion"/>
  <conditionalFormatting sqref="A19:AD58 J15:AD18">
    <cfRule type="expression" dxfId="3" priority="1" stopIfTrue="1">
      <formula>$D15="Done"</formula>
    </cfRule>
    <cfRule type="expression" dxfId="2" priority="2" stopIfTrue="1">
      <formula>$D15="Ongoing"</formula>
    </cfRule>
  </conditionalFormatting>
  <conditionalFormatting sqref="A15:I18">
    <cfRule type="expression" dxfId="1" priority="3" stopIfTrue="1">
      <formula>$D15="Done"</formula>
    </cfRule>
    <cfRule type="expression" dxfId="0" priority="4" stopIfTrue="1">
      <formula>$D15="Ongoing"</formula>
    </cfRule>
  </conditionalFormatting>
  <dataValidations count="1">
    <dataValidation type="list" allowBlank="1" showInputMessage="1" sqref="D15:D64 D3:D8" xr:uid="{00000000-0002-0000-0500-000000000000}">
      <formula1>"Planned,Ongoing,Done"</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SortSprintTasks">
                <anchor moveWithCells="1" sizeWithCells="1">
                  <from>
                    <xdr:col>0</xdr:col>
                    <xdr:colOff>228600</xdr:colOff>
                    <xdr:row>5</xdr:row>
                    <xdr:rowOff>85725</xdr:rowOff>
                  </from>
                  <to>
                    <xdr:col>0</xdr:col>
                    <xdr:colOff>1714500</xdr:colOff>
                    <xdr:row>7</xdr:row>
                    <xdr:rowOff>28575</xdr:rowOff>
                  </to>
                </anchor>
              </controlPr>
            </control>
          </mc:Choice>
        </mc:AlternateContent>
        <mc:AlternateContent xmlns:mc="http://schemas.openxmlformats.org/markup-compatibility/2006">
          <mc:Choice Requires="x14">
            <control shapeId="14350" r:id="rId4" name="Button 14">
              <controlPr defaultSize="0" print="0" autoFill="0" autoPict="0" macro="[0]!UpdateTaskSlips">
                <anchor moveWithCells="1" sizeWithCells="1">
                  <from>
                    <xdr:col>0</xdr:col>
                    <xdr:colOff>2000250</xdr:colOff>
                    <xdr:row>5</xdr:row>
                    <xdr:rowOff>85725</xdr:rowOff>
                  </from>
                  <to>
                    <xdr:col>2</xdr:col>
                    <xdr:colOff>219075</xdr:colOff>
                    <xdr:row>7</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F158"/>
  <sheetViews>
    <sheetView topLeftCell="J12" zoomScale="113" workbookViewId="0">
      <selection activeCell="J12" sqref="J12"/>
    </sheetView>
  </sheetViews>
  <sheetFormatPr defaultColWidth="11.42578125" defaultRowHeight="12.75"/>
  <cols>
    <col min="1" max="1" width="11.42578125" style="28"/>
    <col min="2" max="2" width="9.140625" style="28" customWidth="1"/>
    <col min="3" max="3" width="11.42578125" style="28"/>
    <col min="4" max="4" width="32.7109375" style="28" customWidth="1"/>
    <col min="5" max="5" width="11.42578125" style="28"/>
    <col min="6" max="6" width="32.7109375" style="28" customWidth="1"/>
    <col min="7" max="16384" width="11.42578125" style="28"/>
  </cols>
  <sheetData>
    <row r="1" spans="1:6">
      <c r="A1" s="77" t="s">
        <v>221</v>
      </c>
      <c r="B1" s="78">
        <v>1</v>
      </c>
      <c r="C1" s="79" t="s">
        <v>222</v>
      </c>
      <c r="D1" s="80" t="s">
        <v>25</v>
      </c>
      <c r="E1" s="80"/>
      <c r="F1" s="81"/>
    </row>
    <row r="2" spans="1:6">
      <c r="A2" s="82" t="s">
        <v>223</v>
      </c>
      <c r="B2" s="83" t="s">
        <v>153</v>
      </c>
      <c r="C2" s="83"/>
      <c r="D2" s="83"/>
      <c r="E2" s="83"/>
      <c r="F2" s="84"/>
    </row>
    <row r="3" spans="1:6">
      <c r="A3" s="85"/>
      <c r="F3" s="86"/>
    </row>
    <row r="4" spans="1:6">
      <c r="A4" s="87"/>
      <c r="B4" s="88"/>
      <c r="C4" s="88"/>
      <c r="D4" s="88"/>
      <c r="E4" s="88"/>
      <c r="F4" s="89"/>
    </row>
    <row r="5" spans="1:6">
      <c r="A5" s="90" t="str">
        <f>CONCATENATE("Responsible Person: ",[1]Sp1!C15)</f>
        <v>Responsible Person: Jordi</v>
      </c>
      <c r="B5" s="91"/>
      <c r="C5" s="91"/>
      <c r="D5" s="91"/>
      <c r="E5" s="91"/>
      <c r="F5" s="92"/>
    </row>
    <row r="6" spans="1:6" ht="26.25" thickBot="1">
      <c r="A6" s="93" t="s">
        <v>224</v>
      </c>
      <c r="B6" s="94">
        <v>1</v>
      </c>
      <c r="C6" s="95" t="s">
        <v>225</v>
      </c>
      <c r="D6" s="96"/>
      <c r="E6" s="95" t="s">
        <v>226</v>
      </c>
      <c r="F6" s="97"/>
    </row>
    <row r="8" spans="1:6" ht="13.5" thickBot="1"/>
    <row r="9" spans="1:6">
      <c r="A9" s="77" t="s">
        <v>221</v>
      </c>
      <c r="B9" s="78">
        <v>1</v>
      </c>
      <c r="C9" s="79" t="s">
        <v>222</v>
      </c>
      <c r="D9" s="80" t="s">
        <v>25</v>
      </c>
      <c r="E9" s="80"/>
      <c r="F9" s="81"/>
    </row>
    <row r="10" spans="1:6">
      <c r="A10" s="82" t="s">
        <v>223</v>
      </c>
      <c r="B10" s="83" t="s">
        <v>155</v>
      </c>
      <c r="C10" s="83"/>
      <c r="D10" s="83"/>
      <c r="E10" s="83"/>
      <c r="F10" s="84"/>
    </row>
    <row r="11" spans="1:6">
      <c r="A11" s="85"/>
      <c r="F11" s="86"/>
    </row>
    <row r="12" spans="1:6">
      <c r="A12" s="87"/>
      <c r="B12" s="88"/>
      <c r="C12" s="88"/>
      <c r="D12" s="88"/>
      <c r="E12" s="88"/>
      <c r="F12" s="89"/>
    </row>
    <row r="13" spans="1:6">
      <c r="A13" s="90" t="str">
        <f>CONCATENATE("Responsible Person: ",[1]Sp1!C16)</f>
        <v>Responsible Person: Jordi</v>
      </c>
      <c r="B13" s="91"/>
      <c r="C13" s="91"/>
      <c r="D13" s="91"/>
      <c r="E13" s="91"/>
      <c r="F13" s="92"/>
    </row>
    <row r="14" spans="1:6" ht="26.25" thickBot="1">
      <c r="A14" s="93" t="s">
        <v>224</v>
      </c>
      <c r="B14" s="94">
        <v>3</v>
      </c>
      <c r="C14" s="95" t="s">
        <v>225</v>
      </c>
      <c r="D14" s="96"/>
      <c r="E14" s="95" t="s">
        <v>226</v>
      </c>
      <c r="F14" s="97"/>
    </row>
    <row r="16" spans="1:6" ht="13.5" thickBot="1"/>
    <row r="17" spans="1:6">
      <c r="A17" s="77" t="s">
        <v>221</v>
      </c>
      <c r="B17" s="78">
        <v>2</v>
      </c>
      <c r="C17" s="79" t="s">
        <v>222</v>
      </c>
      <c r="D17" s="80" t="s">
        <v>30</v>
      </c>
      <c r="E17" s="80"/>
      <c r="F17" s="81"/>
    </row>
    <row r="18" spans="1:6">
      <c r="A18" s="82" t="s">
        <v>223</v>
      </c>
      <c r="B18" s="83" t="s">
        <v>156</v>
      </c>
      <c r="C18" s="83"/>
      <c r="D18" s="83"/>
      <c r="E18" s="83"/>
      <c r="F18" s="84"/>
    </row>
    <row r="19" spans="1:6">
      <c r="A19" s="85"/>
      <c r="F19" s="86"/>
    </row>
    <row r="20" spans="1:6">
      <c r="A20" s="87"/>
      <c r="B20" s="88"/>
      <c r="C20" s="88"/>
      <c r="D20" s="88"/>
      <c r="E20" s="88"/>
      <c r="F20" s="89"/>
    </row>
    <row r="21" spans="1:6">
      <c r="A21" s="90" t="str">
        <f>CONCATENATE("Responsible Person: ",[1]Sp1!C17)</f>
        <v>Responsible Person: Marta</v>
      </c>
      <c r="B21" s="91"/>
      <c r="C21" s="91"/>
      <c r="D21" s="91"/>
      <c r="E21" s="91"/>
      <c r="F21" s="92"/>
    </row>
    <row r="22" spans="1:6" ht="26.25" thickBot="1">
      <c r="A22" s="93" t="s">
        <v>224</v>
      </c>
      <c r="B22" s="94">
        <v>1</v>
      </c>
      <c r="C22" s="95" t="s">
        <v>225</v>
      </c>
      <c r="D22" s="96"/>
      <c r="E22" s="95" t="s">
        <v>226</v>
      </c>
      <c r="F22" s="97"/>
    </row>
    <row r="24" spans="1:6" ht="13.5" thickBot="1"/>
    <row r="25" spans="1:6">
      <c r="A25" s="77" t="s">
        <v>221</v>
      </c>
      <c r="B25" s="78">
        <v>2</v>
      </c>
      <c r="C25" s="79" t="s">
        <v>222</v>
      </c>
      <c r="D25" s="80" t="s">
        <v>30</v>
      </c>
      <c r="E25" s="80"/>
      <c r="F25" s="81"/>
    </row>
    <row r="26" spans="1:6">
      <c r="A26" s="82" t="s">
        <v>223</v>
      </c>
      <c r="B26" s="83" t="s">
        <v>158</v>
      </c>
      <c r="C26" s="83"/>
      <c r="D26" s="83"/>
      <c r="E26" s="83"/>
      <c r="F26" s="84"/>
    </row>
    <row r="27" spans="1:6">
      <c r="A27" s="85"/>
      <c r="F27" s="86"/>
    </row>
    <row r="28" spans="1:6">
      <c r="A28" s="87"/>
      <c r="B28" s="88"/>
      <c r="C28" s="88"/>
      <c r="D28" s="88"/>
      <c r="E28" s="88"/>
      <c r="F28" s="89"/>
    </row>
    <row r="29" spans="1:6">
      <c r="A29" s="90" t="str">
        <f>CONCATENATE("Responsible Person: ",[1]Sp1!C18)</f>
        <v>Responsible Person: Marta</v>
      </c>
      <c r="B29" s="91"/>
      <c r="C29" s="91"/>
      <c r="D29" s="91"/>
      <c r="E29" s="91"/>
      <c r="F29" s="92"/>
    </row>
    <row r="30" spans="1:6" ht="26.25" thickBot="1">
      <c r="A30" s="93" t="s">
        <v>224</v>
      </c>
      <c r="B30" s="94">
        <v>1</v>
      </c>
      <c r="C30" s="95" t="s">
        <v>225</v>
      </c>
      <c r="D30" s="96"/>
      <c r="E30" s="95" t="s">
        <v>226</v>
      </c>
      <c r="F30" s="97"/>
    </row>
    <row r="32" spans="1:6" ht="13.5" thickBot="1"/>
    <row r="33" spans="1:6">
      <c r="A33" s="77" t="s">
        <v>221</v>
      </c>
      <c r="B33" s="78">
        <v>2</v>
      </c>
      <c r="C33" s="79" t="s">
        <v>222</v>
      </c>
      <c r="D33" s="80" t="s">
        <v>30</v>
      </c>
      <c r="E33" s="80"/>
      <c r="F33" s="81"/>
    </row>
    <row r="34" spans="1:6">
      <c r="A34" s="82" t="s">
        <v>223</v>
      </c>
      <c r="B34" s="83" t="s">
        <v>159</v>
      </c>
      <c r="C34" s="83"/>
      <c r="D34" s="83"/>
      <c r="E34" s="83"/>
      <c r="F34" s="84"/>
    </row>
    <row r="35" spans="1:6">
      <c r="A35" s="85"/>
      <c r="F35" s="86"/>
    </row>
    <row r="36" spans="1:6">
      <c r="A36" s="87"/>
      <c r="B36" s="88"/>
      <c r="C36" s="88"/>
      <c r="D36" s="88"/>
      <c r="E36" s="88"/>
      <c r="F36" s="89"/>
    </row>
    <row r="37" spans="1:6">
      <c r="A37" s="90" t="str">
        <f>CONCATENATE("Responsible Person: ",[1]Sp1!C19)</f>
        <v>Responsible Person: Marta</v>
      </c>
      <c r="B37" s="91"/>
      <c r="C37" s="91"/>
      <c r="D37" s="91"/>
      <c r="E37" s="91"/>
      <c r="F37" s="92"/>
    </row>
    <row r="38" spans="1:6" ht="26.25" thickBot="1">
      <c r="A38" s="93" t="s">
        <v>224</v>
      </c>
      <c r="B38" s="94">
        <v>4</v>
      </c>
      <c r="C38" s="95" t="s">
        <v>225</v>
      </c>
      <c r="D38" s="96"/>
      <c r="E38" s="95" t="s">
        <v>226</v>
      </c>
      <c r="F38" s="97"/>
    </row>
    <row r="40" spans="1:6" ht="13.5" thickBot="1"/>
    <row r="41" spans="1:6">
      <c r="A41" s="77" t="s">
        <v>221</v>
      </c>
      <c r="B41" s="78">
        <v>3</v>
      </c>
      <c r="C41" s="79" t="s">
        <v>222</v>
      </c>
      <c r="D41" s="80" t="s">
        <v>32</v>
      </c>
      <c r="E41" s="80"/>
      <c r="F41" s="81"/>
    </row>
    <row r="42" spans="1:6">
      <c r="A42" s="82" t="s">
        <v>223</v>
      </c>
      <c r="B42" s="83" t="s">
        <v>160</v>
      </c>
      <c r="C42" s="83"/>
      <c r="D42" s="83"/>
      <c r="E42" s="83"/>
      <c r="F42" s="84"/>
    </row>
    <row r="43" spans="1:6">
      <c r="A43" s="85"/>
      <c r="F43" s="86"/>
    </row>
    <row r="44" spans="1:6">
      <c r="A44" s="87"/>
      <c r="B44" s="88"/>
      <c r="C44" s="88"/>
      <c r="D44" s="88"/>
      <c r="E44" s="88"/>
      <c r="F44" s="89"/>
    </row>
    <row r="45" spans="1:6">
      <c r="A45" s="90" t="str">
        <f>CONCATENATE("Responsible Person: ",[1]Sp1!C20)</f>
        <v>Responsible Person: Sara</v>
      </c>
      <c r="B45" s="91"/>
      <c r="C45" s="91"/>
      <c r="D45" s="91"/>
      <c r="E45" s="91"/>
      <c r="F45" s="92"/>
    </row>
    <row r="46" spans="1:6" ht="26.25" thickBot="1">
      <c r="A46" s="93" t="s">
        <v>224</v>
      </c>
      <c r="B46" s="94">
        <v>0.5</v>
      </c>
      <c r="C46" s="95" t="s">
        <v>225</v>
      </c>
      <c r="D46" s="96"/>
      <c r="E46" s="95" t="s">
        <v>226</v>
      </c>
      <c r="F46" s="97"/>
    </row>
    <row r="48" spans="1:6" ht="13.5" thickBot="1"/>
    <row r="49" spans="1:6">
      <c r="A49" s="77" t="s">
        <v>221</v>
      </c>
      <c r="B49" s="78">
        <v>3</v>
      </c>
      <c r="C49" s="79" t="s">
        <v>222</v>
      </c>
      <c r="D49" s="80" t="s">
        <v>32</v>
      </c>
      <c r="E49" s="80"/>
      <c r="F49" s="81"/>
    </row>
    <row r="50" spans="1:6">
      <c r="A50" s="82" t="s">
        <v>223</v>
      </c>
      <c r="B50" s="83" t="s">
        <v>162</v>
      </c>
      <c r="C50" s="83"/>
      <c r="D50" s="83"/>
      <c r="E50" s="83"/>
      <c r="F50" s="84"/>
    </row>
    <row r="51" spans="1:6">
      <c r="A51" s="85"/>
      <c r="F51" s="86"/>
    </row>
    <row r="52" spans="1:6">
      <c r="A52" s="87"/>
      <c r="B52" s="88"/>
      <c r="C52" s="88"/>
      <c r="D52" s="88"/>
      <c r="E52" s="88"/>
      <c r="F52" s="89"/>
    </row>
    <row r="53" spans="1:6">
      <c r="A53" s="90" t="str">
        <f>CONCATENATE("Responsible Person: ",[1]Sp1!C21)</f>
        <v>Responsible Person: Sara</v>
      </c>
      <c r="B53" s="91"/>
      <c r="C53" s="91"/>
      <c r="D53" s="91"/>
      <c r="E53" s="91"/>
      <c r="F53" s="92"/>
    </row>
    <row r="54" spans="1:6" ht="26.25" thickBot="1">
      <c r="A54" s="93" t="s">
        <v>224</v>
      </c>
      <c r="B54" s="94">
        <v>0.5</v>
      </c>
      <c r="C54" s="95" t="s">
        <v>225</v>
      </c>
      <c r="D54" s="96"/>
      <c r="E54" s="95" t="s">
        <v>226</v>
      </c>
      <c r="F54" s="97"/>
    </row>
    <row r="56" spans="1:6" ht="13.5" thickBot="1"/>
    <row r="57" spans="1:6">
      <c r="A57" s="77" t="s">
        <v>221</v>
      </c>
      <c r="B57" s="78">
        <v>3</v>
      </c>
      <c r="C57" s="79" t="s">
        <v>222</v>
      </c>
      <c r="D57" s="80" t="s">
        <v>32</v>
      </c>
      <c r="E57" s="80"/>
      <c r="F57" s="81"/>
    </row>
    <row r="58" spans="1:6">
      <c r="A58" s="82" t="s">
        <v>223</v>
      </c>
      <c r="B58" s="83" t="s">
        <v>163</v>
      </c>
      <c r="C58" s="83"/>
      <c r="D58" s="83"/>
      <c r="E58" s="83"/>
      <c r="F58" s="84"/>
    </row>
    <row r="59" spans="1:6">
      <c r="A59" s="85"/>
      <c r="F59" s="86"/>
    </row>
    <row r="60" spans="1:6">
      <c r="A60" s="87"/>
      <c r="B60" s="88"/>
      <c r="C60" s="88"/>
      <c r="D60" s="88"/>
      <c r="E60" s="88"/>
      <c r="F60" s="89"/>
    </row>
    <row r="61" spans="1:6">
      <c r="A61" s="90" t="str">
        <f>CONCATENATE("Responsible Person: ",[1]Sp1!C22)</f>
        <v>Responsible Person: Sara</v>
      </c>
      <c r="B61" s="91"/>
      <c r="C61" s="91"/>
      <c r="D61" s="91"/>
      <c r="E61" s="91"/>
      <c r="F61" s="92"/>
    </row>
    <row r="62" spans="1:6" ht="26.25" thickBot="1">
      <c r="A62" s="93" t="s">
        <v>224</v>
      </c>
      <c r="B62" s="94">
        <v>0.5</v>
      </c>
      <c r="C62" s="95" t="s">
        <v>225</v>
      </c>
      <c r="D62" s="96"/>
      <c r="E62" s="95" t="s">
        <v>226</v>
      </c>
      <c r="F62" s="97"/>
    </row>
    <row r="64" spans="1:6" ht="13.5" thickBot="1"/>
    <row r="65" spans="1:6">
      <c r="A65" s="77" t="s">
        <v>221</v>
      </c>
      <c r="B65" s="78">
        <v>3</v>
      </c>
      <c r="C65" s="79" t="s">
        <v>222</v>
      </c>
      <c r="D65" s="80" t="s">
        <v>32</v>
      </c>
      <c r="E65" s="80"/>
      <c r="F65" s="81"/>
    </row>
    <row r="66" spans="1:6">
      <c r="A66" s="82" t="s">
        <v>223</v>
      </c>
      <c r="B66" s="83" t="s">
        <v>164</v>
      </c>
      <c r="C66" s="83"/>
      <c r="D66" s="83"/>
      <c r="E66" s="83"/>
      <c r="F66" s="84"/>
    </row>
    <row r="67" spans="1:6">
      <c r="A67" s="85"/>
      <c r="F67" s="86"/>
    </row>
    <row r="68" spans="1:6">
      <c r="A68" s="87"/>
      <c r="B68" s="88"/>
      <c r="C68" s="88"/>
      <c r="D68" s="88"/>
      <c r="E68" s="88"/>
      <c r="F68" s="89"/>
    </row>
    <row r="69" spans="1:6">
      <c r="A69" s="90" t="str">
        <f>CONCATENATE("Responsible Person: ",[1]Sp1!C23)</f>
        <v>Responsible Person: Sara</v>
      </c>
      <c r="B69" s="91"/>
      <c r="C69" s="91"/>
      <c r="D69" s="91"/>
      <c r="E69" s="91"/>
      <c r="F69" s="92"/>
    </row>
    <row r="70" spans="1:6" ht="26.25" thickBot="1">
      <c r="A70" s="93" t="s">
        <v>224</v>
      </c>
      <c r="B70" s="94">
        <v>0.5</v>
      </c>
      <c r="C70" s="95" t="s">
        <v>225</v>
      </c>
      <c r="D70" s="96"/>
      <c r="E70" s="95" t="s">
        <v>226</v>
      </c>
      <c r="F70" s="97"/>
    </row>
    <row r="72" spans="1:6" ht="13.5" thickBot="1"/>
    <row r="73" spans="1:6">
      <c r="A73" s="77" t="s">
        <v>221</v>
      </c>
      <c r="B73" s="78">
        <v>8</v>
      </c>
      <c r="C73" s="79" t="s">
        <v>222</v>
      </c>
      <c r="D73" s="80" t="s">
        <v>44</v>
      </c>
      <c r="E73" s="80"/>
      <c r="F73" s="81"/>
    </row>
    <row r="74" spans="1:6">
      <c r="A74" s="82" t="s">
        <v>223</v>
      </c>
      <c r="B74" s="83" t="s">
        <v>165</v>
      </c>
      <c r="C74" s="83"/>
      <c r="D74" s="83"/>
      <c r="E74" s="83"/>
      <c r="F74" s="84"/>
    </row>
    <row r="75" spans="1:6">
      <c r="A75" s="85"/>
      <c r="F75" s="86"/>
    </row>
    <row r="76" spans="1:6">
      <c r="A76" s="87"/>
      <c r="B76" s="88"/>
      <c r="C76" s="88"/>
      <c r="D76" s="88"/>
      <c r="E76" s="88"/>
      <c r="F76" s="89"/>
    </row>
    <row r="77" spans="1:6">
      <c r="A77" s="90" t="str">
        <f>CONCATENATE("Responsible Person: ",[1]Sp1!C24)</f>
        <v>Responsible Person: Gerard</v>
      </c>
      <c r="B77" s="91"/>
      <c r="C77" s="91"/>
      <c r="D77" s="91"/>
      <c r="E77" s="91"/>
      <c r="F77" s="92"/>
    </row>
    <row r="78" spans="1:6" ht="26.25" thickBot="1">
      <c r="A78" s="93" t="s">
        <v>224</v>
      </c>
      <c r="B78" s="94">
        <v>3</v>
      </c>
      <c r="C78" s="95" t="s">
        <v>225</v>
      </c>
      <c r="D78" s="96"/>
      <c r="E78" s="95" t="s">
        <v>226</v>
      </c>
      <c r="F78" s="97"/>
    </row>
    <row r="80" spans="1:6" ht="13.5" thickBot="1"/>
    <row r="81" spans="1:6">
      <c r="A81" s="77" t="s">
        <v>221</v>
      </c>
      <c r="B81" s="78">
        <v>8</v>
      </c>
      <c r="C81" s="79" t="s">
        <v>222</v>
      </c>
      <c r="D81" s="80" t="s">
        <v>44</v>
      </c>
      <c r="E81" s="80"/>
      <c r="F81" s="81"/>
    </row>
    <row r="82" spans="1:6">
      <c r="A82" s="82" t="s">
        <v>223</v>
      </c>
      <c r="B82" s="83" t="s">
        <v>167</v>
      </c>
      <c r="C82" s="83"/>
      <c r="D82" s="83"/>
      <c r="E82" s="83"/>
      <c r="F82" s="84"/>
    </row>
    <row r="83" spans="1:6">
      <c r="A83" s="85"/>
      <c r="F83" s="86"/>
    </row>
    <row r="84" spans="1:6">
      <c r="A84" s="87"/>
      <c r="B84" s="88"/>
      <c r="C84" s="88"/>
      <c r="D84" s="88"/>
      <c r="E84" s="88"/>
      <c r="F84" s="89"/>
    </row>
    <row r="85" spans="1:6">
      <c r="A85" s="90" t="str">
        <f>CONCATENATE("Responsible Person: ",[1]Sp1!C25)</f>
        <v>Responsible Person: Gerard</v>
      </c>
      <c r="B85" s="91"/>
      <c r="C85" s="91"/>
      <c r="D85" s="91"/>
      <c r="E85" s="91"/>
      <c r="F85" s="92"/>
    </row>
    <row r="86" spans="1:6" ht="26.25" thickBot="1">
      <c r="A86" s="93" t="s">
        <v>224</v>
      </c>
      <c r="B86" s="94">
        <v>1</v>
      </c>
      <c r="C86" s="95" t="s">
        <v>225</v>
      </c>
      <c r="D86" s="96"/>
      <c r="E86" s="95" t="s">
        <v>226</v>
      </c>
      <c r="F86" s="97"/>
    </row>
    <row r="88" spans="1:6" ht="13.5" thickBot="1"/>
    <row r="89" spans="1:6">
      <c r="A89" s="77" t="s">
        <v>221</v>
      </c>
      <c r="B89" s="78">
        <v>8</v>
      </c>
      <c r="C89" s="79" t="s">
        <v>222</v>
      </c>
      <c r="D89" s="80" t="s">
        <v>44</v>
      </c>
      <c r="E89" s="80"/>
      <c r="F89" s="81"/>
    </row>
    <row r="90" spans="1:6">
      <c r="A90" s="82" t="s">
        <v>223</v>
      </c>
      <c r="B90" s="83" t="s">
        <v>168</v>
      </c>
      <c r="C90" s="83"/>
      <c r="D90" s="83"/>
      <c r="E90" s="83"/>
      <c r="F90" s="84"/>
    </row>
    <row r="91" spans="1:6">
      <c r="A91" s="85"/>
      <c r="F91" s="86"/>
    </row>
    <row r="92" spans="1:6">
      <c r="A92" s="87"/>
      <c r="B92" s="88"/>
      <c r="C92" s="88"/>
      <c r="D92" s="88"/>
      <c r="E92" s="88"/>
      <c r="F92" s="89"/>
    </row>
    <row r="93" spans="1:6">
      <c r="A93" s="90" t="str">
        <f>CONCATENATE("Responsible Person: ",[1]Sp1!C26)</f>
        <v>Responsible Person: Gerard</v>
      </c>
      <c r="B93" s="91"/>
      <c r="C93" s="91"/>
      <c r="D93" s="91"/>
      <c r="E93" s="91"/>
      <c r="F93" s="92"/>
    </row>
    <row r="94" spans="1:6" ht="26.25" thickBot="1">
      <c r="A94" s="93" t="s">
        <v>224</v>
      </c>
      <c r="B94" s="94">
        <v>1</v>
      </c>
      <c r="C94" s="95" t="s">
        <v>225</v>
      </c>
      <c r="D94" s="96"/>
      <c r="E94" s="95" t="s">
        <v>226</v>
      </c>
      <c r="F94" s="97"/>
    </row>
    <row r="96" spans="1:6" ht="13.5" thickBot="1"/>
    <row r="97" spans="1:6">
      <c r="A97" s="77" t="s">
        <v>221</v>
      </c>
      <c r="B97" s="78">
        <v>8</v>
      </c>
      <c r="C97" s="79" t="s">
        <v>222</v>
      </c>
      <c r="D97" s="80" t="s">
        <v>44</v>
      </c>
      <c r="E97" s="80"/>
      <c r="F97" s="81"/>
    </row>
    <row r="98" spans="1:6">
      <c r="A98" s="82" t="s">
        <v>223</v>
      </c>
      <c r="B98" s="83" t="s">
        <v>169</v>
      </c>
      <c r="C98" s="83"/>
      <c r="D98" s="83"/>
      <c r="E98" s="83"/>
      <c r="F98" s="84"/>
    </row>
    <row r="99" spans="1:6">
      <c r="A99" s="85"/>
      <c r="F99" s="86"/>
    </row>
    <row r="100" spans="1:6">
      <c r="A100" s="87"/>
      <c r="B100" s="88"/>
      <c r="C100" s="88"/>
      <c r="D100" s="88"/>
      <c r="E100" s="88"/>
      <c r="F100" s="89"/>
    </row>
    <row r="101" spans="1:6">
      <c r="A101" s="90" t="str">
        <f>CONCATENATE("Responsible Person: ",[1]Sp1!C27)</f>
        <v>Responsible Person: Gerard</v>
      </c>
      <c r="B101" s="91"/>
      <c r="C101" s="91"/>
      <c r="D101" s="91"/>
      <c r="E101" s="91"/>
      <c r="F101" s="92"/>
    </row>
    <row r="102" spans="1:6" ht="26.25" thickBot="1">
      <c r="A102" s="93" t="s">
        <v>224</v>
      </c>
      <c r="B102" s="94">
        <v>1</v>
      </c>
      <c r="C102" s="95" t="s">
        <v>225</v>
      </c>
      <c r="D102" s="96"/>
      <c r="E102" s="95" t="s">
        <v>226</v>
      </c>
      <c r="F102" s="97"/>
    </row>
    <row r="104" spans="1:6" ht="13.5" thickBot="1"/>
    <row r="105" spans="1:6">
      <c r="A105" s="77" t="s">
        <v>221</v>
      </c>
      <c r="B105" s="78">
        <v>8</v>
      </c>
      <c r="C105" s="79" t="s">
        <v>222</v>
      </c>
      <c r="D105" s="80" t="s">
        <v>44</v>
      </c>
      <c r="E105" s="80"/>
      <c r="F105" s="81"/>
    </row>
    <row r="106" spans="1:6">
      <c r="A106" s="82" t="s">
        <v>223</v>
      </c>
      <c r="B106" s="83" t="s">
        <v>170</v>
      </c>
      <c r="C106" s="83"/>
      <c r="D106" s="83"/>
      <c r="E106" s="83"/>
      <c r="F106" s="84"/>
    </row>
    <row r="107" spans="1:6">
      <c r="A107" s="85"/>
      <c r="F107" s="86"/>
    </row>
    <row r="108" spans="1:6">
      <c r="A108" s="87"/>
      <c r="B108" s="88"/>
      <c r="C108" s="88"/>
      <c r="D108" s="88"/>
      <c r="E108" s="88"/>
      <c r="F108" s="89"/>
    </row>
    <row r="109" spans="1:6">
      <c r="A109" s="90" t="str">
        <f>CONCATENATE("Responsible Person: ",[1]Sp1!C28)</f>
        <v>Responsible Person: Sergi</v>
      </c>
      <c r="B109" s="91"/>
      <c r="C109" s="91"/>
      <c r="D109" s="91"/>
      <c r="E109" s="91"/>
      <c r="F109" s="92"/>
    </row>
    <row r="110" spans="1:6" ht="26.25" thickBot="1">
      <c r="A110" s="93" t="s">
        <v>224</v>
      </c>
      <c r="B110" s="94">
        <v>4</v>
      </c>
      <c r="C110" s="95" t="s">
        <v>225</v>
      </c>
      <c r="D110" s="96"/>
      <c r="E110" s="95" t="s">
        <v>226</v>
      </c>
      <c r="F110" s="97"/>
    </row>
    <row r="112" spans="1:6" ht="13.5" thickBot="1"/>
    <row r="113" spans="1:6">
      <c r="A113" s="77" t="s">
        <v>221</v>
      </c>
      <c r="B113" s="78">
        <v>8</v>
      </c>
      <c r="C113" s="79" t="s">
        <v>222</v>
      </c>
      <c r="D113" s="80" t="s">
        <v>44</v>
      </c>
      <c r="E113" s="80"/>
      <c r="F113" s="81"/>
    </row>
    <row r="114" spans="1:6">
      <c r="A114" s="82" t="s">
        <v>223</v>
      </c>
      <c r="B114" s="83" t="s">
        <v>172</v>
      </c>
      <c r="C114" s="83"/>
      <c r="D114" s="83"/>
      <c r="E114" s="83"/>
      <c r="F114" s="84"/>
    </row>
    <row r="115" spans="1:6">
      <c r="A115" s="85"/>
      <c r="F115" s="86"/>
    </row>
    <row r="116" spans="1:6">
      <c r="A116" s="87"/>
      <c r="B116" s="88"/>
      <c r="C116" s="88"/>
      <c r="D116" s="88"/>
      <c r="E116" s="88"/>
      <c r="F116" s="89"/>
    </row>
    <row r="117" spans="1:6">
      <c r="A117" s="90" t="str">
        <f>CONCATENATE("Responsible Person: ",[1]Sp1!C29)</f>
        <v>Responsible Person: Sergi</v>
      </c>
      <c r="B117" s="91"/>
      <c r="C117" s="91"/>
      <c r="D117" s="91"/>
      <c r="E117" s="91"/>
      <c r="F117" s="92"/>
    </row>
    <row r="118" spans="1:6" ht="26.25" thickBot="1">
      <c r="A118" s="93" t="s">
        <v>224</v>
      </c>
      <c r="B118" s="94">
        <v>4</v>
      </c>
      <c r="C118" s="95" t="s">
        <v>225</v>
      </c>
      <c r="D118" s="96"/>
      <c r="E118" s="95" t="s">
        <v>226</v>
      </c>
      <c r="F118" s="97"/>
    </row>
    <row r="120" spans="1:6" ht="13.5" thickBot="1"/>
    <row r="121" spans="1:6">
      <c r="A121" s="77" t="s">
        <v>221</v>
      </c>
      <c r="B121" s="78">
        <v>11</v>
      </c>
      <c r="C121" s="79" t="s">
        <v>222</v>
      </c>
      <c r="D121" s="80" t="s">
        <v>53</v>
      </c>
      <c r="E121" s="80"/>
      <c r="F121" s="81"/>
    </row>
    <row r="122" spans="1:6">
      <c r="A122" s="82" t="s">
        <v>223</v>
      </c>
      <c r="B122" s="83" t="s">
        <v>173</v>
      </c>
      <c r="C122" s="83"/>
      <c r="D122" s="83"/>
      <c r="E122" s="83"/>
      <c r="F122" s="84"/>
    </row>
    <row r="123" spans="1:6">
      <c r="A123" s="85"/>
      <c r="F123" s="86"/>
    </row>
    <row r="124" spans="1:6">
      <c r="A124" s="87"/>
      <c r="B124" s="88"/>
      <c r="C124" s="88"/>
      <c r="D124" s="88"/>
      <c r="E124" s="88"/>
      <c r="F124" s="89"/>
    </row>
    <row r="125" spans="1:6">
      <c r="A125" s="90" t="str">
        <f>CONCATENATE("Responsible Person: ",[1]Sp1!C30)</f>
        <v>Responsible Person: Sara</v>
      </c>
      <c r="B125" s="91"/>
      <c r="C125" s="91"/>
      <c r="D125" s="91"/>
      <c r="E125" s="91"/>
      <c r="F125" s="92"/>
    </row>
    <row r="126" spans="1:6" ht="26.25" thickBot="1">
      <c r="A126" s="93" t="s">
        <v>224</v>
      </c>
      <c r="B126" s="94">
        <v>3</v>
      </c>
      <c r="C126" s="95" t="s">
        <v>225</v>
      </c>
      <c r="D126" s="96"/>
      <c r="E126" s="95" t="s">
        <v>226</v>
      </c>
      <c r="F126" s="97"/>
    </row>
    <row r="128" spans="1:6" ht="13.5" thickBot="1"/>
    <row r="129" spans="1:6">
      <c r="A129" s="77" t="s">
        <v>221</v>
      </c>
      <c r="B129" s="78">
        <v>21</v>
      </c>
      <c r="C129" s="79" t="s">
        <v>222</v>
      </c>
      <c r="D129" s="80" t="s">
        <v>77</v>
      </c>
      <c r="E129" s="80"/>
      <c r="F129" s="81"/>
    </row>
    <row r="130" spans="1:6">
      <c r="A130" s="82" t="s">
        <v>223</v>
      </c>
      <c r="B130" s="83" t="s">
        <v>174</v>
      </c>
      <c r="C130" s="83"/>
      <c r="D130" s="83"/>
      <c r="E130" s="83"/>
      <c r="F130" s="84"/>
    </row>
    <row r="131" spans="1:6">
      <c r="A131" s="85"/>
      <c r="F131" s="86"/>
    </row>
    <row r="132" spans="1:6">
      <c r="A132" s="87"/>
      <c r="B132" s="88"/>
      <c r="C132" s="88"/>
      <c r="D132" s="88"/>
      <c r="E132" s="88"/>
      <c r="F132" s="89"/>
    </row>
    <row r="133" spans="1:6">
      <c r="A133" s="90" t="str">
        <f>CONCATENATE("Responsible Person: ",[1]Sp1!C31)</f>
        <v>Responsible Person: Sara</v>
      </c>
      <c r="B133" s="91"/>
      <c r="C133" s="91"/>
      <c r="D133" s="91"/>
      <c r="E133" s="91"/>
      <c r="F133" s="92"/>
    </row>
    <row r="134" spans="1:6" ht="26.25" thickBot="1">
      <c r="A134" s="93" t="s">
        <v>224</v>
      </c>
      <c r="B134" s="94">
        <v>0.5</v>
      </c>
      <c r="C134" s="95" t="s">
        <v>225</v>
      </c>
      <c r="D134" s="96"/>
      <c r="E134" s="95" t="s">
        <v>226</v>
      </c>
      <c r="F134" s="97"/>
    </row>
    <row r="136" spans="1:6" ht="13.5" thickBot="1"/>
    <row r="137" spans="1:6">
      <c r="A137" s="77" t="s">
        <v>221</v>
      </c>
      <c r="B137" s="78">
        <v>21</v>
      </c>
      <c r="C137" s="79" t="s">
        <v>222</v>
      </c>
      <c r="D137" s="80" t="s">
        <v>77</v>
      </c>
      <c r="E137" s="80"/>
      <c r="F137" s="81"/>
    </row>
    <row r="138" spans="1:6">
      <c r="A138" s="82" t="s">
        <v>223</v>
      </c>
      <c r="B138" s="83" t="s">
        <v>175</v>
      </c>
      <c r="C138" s="83"/>
      <c r="D138" s="83"/>
      <c r="E138" s="83"/>
      <c r="F138" s="84"/>
    </row>
    <row r="139" spans="1:6">
      <c r="A139" s="85"/>
      <c r="F139" s="86"/>
    </row>
    <row r="140" spans="1:6">
      <c r="A140" s="87"/>
      <c r="B140" s="88"/>
      <c r="C140" s="88"/>
      <c r="D140" s="88"/>
      <c r="E140" s="88"/>
      <c r="F140" s="89"/>
    </row>
    <row r="141" spans="1:6">
      <c r="A141" s="90" t="str">
        <f>CONCATENATE("Responsible Person: ",[1]Sp1!C32)</f>
        <v>Responsible Person: Sara</v>
      </c>
      <c r="B141" s="91"/>
      <c r="C141" s="91"/>
      <c r="D141" s="91"/>
      <c r="E141" s="91"/>
      <c r="F141" s="92"/>
    </row>
    <row r="142" spans="1:6" ht="26.25" thickBot="1">
      <c r="A142" s="93" t="s">
        <v>224</v>
      </c>
      <c r="B142" s="94">
        <v>0.5</v>
      </c>
      <c r="C142" s="95" t="s">
        <v>225</v>
      </c>
      <c r="D142" s="96"/>
      <c r="E142" s="95" t="s">
        <v>226</v>
      </c>
      <c r="F142" s="97"/>
    </row>
    <row r="144" spans="1:6" ht="13.5" thickBot="1"/>
    <row r="145" spans="1:6">
      <c r="A145" s="77" t="s">
        <v>221</v>
      </c>
      <c r="B145" s="78">
        <v>21</v>
      </c>
      <c r="C145" s="79" t="s">
        <v>222</v>
      </c>
      <c r="D145" s="80" t="s">
        <v>77</v>
      </c>
      <c r="E145" s="80"/>
      <c r="F145" s="81"/>
    </row>
    <row r="146" spans="1:6">
      <c r="A146" s="82" t="s">
        <v>223</v>
      </c>
      <c r="B146" s="83" t="s">
        <v>176</v>
      </c>
      <c r="C146" s="83"/>
      <c r="D146" s="83"/>
      <c r="E146" s="83"/>
      <c r="F146" s="84"/>
    </row>
    <row r="147" spans="1:6">
      <c r="A147" s="85"/>
      <c r="F147" s="86"/>
    </row>
    <row r="148" spans="1:6">
      <c r="A148" s="87"/>
      <c r="B148" s="88"/>
      <c r="C148" s="88"/>
      <c r="D148" s="88"/>
      <c r="E148" s="88"/>
      <c r="F148" s="89"/>
    </row>
    <row r="149" spans="1:6">
      <c r="A149" s="90" t="str">
        <f>CONCATENATE("Responsible Person: ",[1]Sp1!C33)</f>
        <v>Responsible Person: Sara</v>
      </c>
      <c r="B149" s="91"/>
      <c r="C149" s="91"/>
      <c r="D149" s="91"/>
      <c r="E149" s="91"/>
      <c r="F149" s="92"/>
    </row>
    <row r="150" spans="1:6" ht="26.25" thickBot="1">
      <c r="A150" s="93" t="s">
        <v>224</v>
      </c>
      <c r="B150" s="94">
        <v>0.5</v>
      </c>
      <c r="C150" s="95" t="s">
        <v>225</v>
      </c>
      <c r="D150" s="96"/>
      <c r="E150" s="95" t="s">
        <v>226</v>
      </c>
      <c r="F150" s="97"/>
    </row>
    <row r="152" spans="1:6" ht="13.5" thickBot="1"/>
    <row r="153" spans="1:6">
      <c r="A153" s="77" t="s">
        <v>221</v>
      </c>
      <c r="B153" s="78">
        <v>23</v>
      </c>
      <c r="C153" s="79" t="s">
        <v>222</v>
      </c>
      <c r="D153" s="80" t="s">
        <v>82</v>
      </c>
      <c r="E153" s="80"/>
      <c r="F153" s="81"/>
    </row>
    <row r="154" spans="1:6">
      <c r="A154" s="82" t="s">
        <v>223</v>
      </c>
      <c r="B154" s="83" t="s">
        <v>177</v>
      </c>
      <c r="C154" s="83"/>
      <c r="D154" s="83"/>
      <c r="E154" s="83"/>
      <c r="F154" s="84"/>
    </row>
    <row r="155" spans="1:6">
      <c r="A155" s="85"/>
      <c r="F155" s="86"/>
    </row>
    <row r="156" spans="1:6">
      <c r="A156" s="87"/>
      <c r="B156" s="88"/>
      <c r="C156" s="88"/>
      <c r="D156" s="88"/>
      <c r="E156" s="88"/>
      <c r="F156" s="89"/>
    </row>
    <row r="157" spans="1:6">
      <c r="A157" s="90" t="str">
        <f>CONCATENATE("Responsible Person: ",[1]Sp1!C34)</f>
        <v>Responsible Person: Gerard</v>
      </c>
      <c r="B157" s="91"/>
      <c r="C157" s="91"/>
      <c r="D157" s="91"/>
      <c r="E157" s="91"/>
      <c r="F157" s="92"/>
    </row>
    <row r="158" spans="1:6" ht="26.25" thickBot="1">
      <c r="A158" s="93" t="s">
        <v>224</v>
      </c>
      <c r="B158" s="94">
        <v>6</v>
      </c>
      <c r="C158" s="95" t="s">
        <v>225</v>
      </c>
      <c r="D158" s="96"/>
      <c r="E158" s="95" t="s">
        <v>226</v>
      </c>
      <c r="F158" s="97"/>
    </row>
  </sheetData>
  <phoneticPr fontId="2" type="noConversion"/>
  <pageMargins left="0.19685039370078741" right="0.19685039370078741" top="0.19685039370078741" bottom="0.19685039370078741" header="0.51181102362204722" footer="0.51181102362204722"/>
  <pageSetup paperSize="9" fitToHeight="100"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469"/>
  <sheetViews>
    <sheetView topLeftCell="A263" workbookViewId="0">
      <selection activeCell="D425" sqref="D425"/>
    </sheetView>
  </sheetViews>
  <sheetFormatPr defaultColWidth="11.42578125" defaultRowHeight="12.75"/>
  <cols>
    <col min="1" max="1" width="38.5703125" style="72" customWidth="1"/>
    <col min="2" max="16384" width="11.42578125" style="72"/>
  </cols>
  <sheetData>
    <row r="1" spans="1:1">
      <c r="A1" s="72" t="s">
        <v>227</v>
      </c>
    </row>
    <row r="3" spans="1:1">
      <c r="A3" s="72" t="s">
        <v>228</v>
      </c>
    </row>
    <row r="4" spans="1:1">
      <c r="A4" s="72" t="s">
        <v>229</v>
      </c>
    </row>
    <row r="5" spans="1:1">
      <c r="A5" s="72" t="s">
        <v>230</v>
      </c>
    </row>
    <row r="6" spans="1:1">
      <c r="A6" s="72" t="s">
        <v>231</v>
      </c>
    </row>
    <row r="7" spans="1:1">
      <c r="A7" s="98" t="s">
        <v>232</v>
      </c>
    </row>
    <row r="8" spans="1:1">
      <c r="A8" s="72" t="s">
        <v>233</v>
      </c>
    </row>
    <row r="9" spans="1:1">
      <c r="A9" s="72" t="s">
        <v>234</v>
      </c>
    </row>
    <row r="11" spans="1:1">
      <c r="A11" s="72" t="s">
        <v>235</v>
      </c>
    </row>
    <row r="12" spans="1:1">
      <c r="A12" s="72" t="s">
        <v>229</v>
      </c>
    </row>
    <row r="13" spans="1:1">
      <c r="A13" s="72" t="s">
        <v>230</v>
      </c>
    </row>
    <row r="14" spans="1:1">
      <c r="A14" s="72" t="s">
        <v>231</v>
      </c>
    </row>
    <row r="15" spans="1:1">
      <c r="A15" s="72" t="s">
        <v>236</v>
      </c>
    </row>
    <row r="16" spans="1:1">
      <c r="A16" s="72" t="s">
        <v>237</v>
      </c>
    </row>
    <row r="17" spans="1:1">
      <c r="A17" s="72" t="s">
        <v>238</v>
      </c>
    </row>
    <row r="18" spans="1:1">
      <c r="A18" s="72" t="s">
        <v>239</v>
      </c>
    </row>
    <row r="19" spans="1:1">
      <c r="A19" s="72" t="s">
        <v>240</v>
      </c>
    </row>
    <row r="20" spans="1:1">
      <c r="A20" s="72" t="s">
        <v>241</v>
      </c>
    </row>
    <row r="21" spans="1:1">
      <c r="A21" s="72" t="s">
        <v>242</v>
      </c>
    </row>
    <row r="22" spans="1:1">
      <c r="A22" s="72" t="s">
        <v>233</v>
      </c>
    </row>
    <row r="23" spans="1:1">
      <c r="A23" s="72" t="s">
        <v>243</v>
      </c>
    </row>
    <row r="25" spans="1:1">
      <c r="A25" s="72" t="s">
        <v>244</v>
      </c>
    </row>
    <row r="27" spans="1:1">
      <c r="A27" s="72" t="s">
        <v>245</v>
      </c>
    </row>
    <row r="28" spans="1:1">
      <c r="A28" s="72" t="s">
        <v>229</v>
      </c>
    </row>
    <row r="29" spans="1:1">
      <c r="A29" s="72" t="s">
        <v>232</v>
      </c>
    </row>
    <row r="30" spans="1:1">
      <c r="A30" s="72" t="s">
        <v>231</v>
      </c>
    </row>
    <row r="31" spans="1:1">
      <c r="A31" s="72" t="s">
        <v>246</v>
      </c>
    </row>
    <row r="32" spans="1:1">
      <c r="A32" s="72" t="s">
        <v>233</v>
      </c>
    </row>
    <row r="33" spans="1:1">
      <c r="A33" s="72" t="s">
        <v>247</v>
      </c>
    </row>
    <row r="35" spans="1:1">
      <c r="A35" s="72" t="s">
        <v>248</v>
      </c>
    </row>
    <row r="36" spans="1:1">
      <c r="A36" s="72" t="s">
        <v>229</v>
      </c>
    </row>
    <row r="37" spans="1:1">
      <c r="A37" s="72" t="s">
        <v>249</v>
      </c>
    </row>
    <row r="38" spans="1:1">
      <c r="A38" s="72" t="s">
        <v>231</v>
      </c>
    </row>
    <row r="39" spans="1:1">
      <c r="A39" s="72" t="s">
        <v>250</v>
      </c>
    </row>
    <row r="40" spans="1:1">
      <c r="A40" s="72" t="s">
        <v>233</v>
      </c>
    </row>
    <row r="41" spans="1:1">
      <c r="A41" s="72" t="s">
        <v>251</v>
      </c>
    </row>
    <row r="43" spans="1:1">
      <c r="A43" s="72" t="s">
        <v>252</v>
      </c>
    </row>
    <row r="44" spans="1:1">
      <c r="A44" s="72" t="s">
        <v>229</v>
      </c>
    </row>
    <row r="45" spans="1:1">
      <c r="A45" s="72" t="s">
        <v>253</v>
      </c>
    </row>
    <row r="46" spans="1:1">
      <c r="A46" s="72" t="s">
        <v>231</v>
      </c>
    </row>
    <row r="47" spans="1:1">
      <c r="A47" s="72" t="s">
        <v>254</v>
      </c>
    </row>
    <row r="48" spans="1:1">
      <c r="A48" s="72" t="s">
        <v>233</v>
      </c>
    </row>
    <row r="49" spans="1:1">
      <c r="A49" s="72" t="s">
        <v>255</v>
      </c>
    </row>
    <row r="51" spans="1:1">
      <c r="A51" s="72" t="s">
        <v>256</v>
      </c>
    </row>
    <row r="52" spans="1:1">
      <c r="A52" s="72" t="s">
        <v>229</v>
      </c>
    </row>
    <row r="53" spans="1:1">
      <c r="A53" s="72" t="s">
        <v>257</v>
      </c>
    </row>
    <row r="54" spans="1:1">
      <c r="A54" s="72" t="s">
        <v>231</v>
      </c>
    </row>
    <row r="55" spans="1:1">
      <c r="A55" s="72" t="s">
        <v>258</v>
      </c>
    </row>
    <row r="56" spans="1:1">
      <c r="A56" s="72" t="s">
        <v>233</v>
      </c>
    </row>
    <row r="57" spans="1:1">
      <c r="A57" s="72" t="s">
        <v>259</v>
      </c>
    </row>
    <row r="59" spans="1:1">
      <c r="A59" s="72" t="s">
        <v>260</v>
      </c>
    </row>
    <row r="60" spans="1:1">
      <c r="A60" s="72" t="s">
        <v>229</v>
      </c>
    </row>
    <row r="61" spans="1:1">
      <c r="A61" s="72" t="s">
        <v>249</v>
      </c>
    </row>
    <row r="62" spans="1:1">
      <c r="A62" s="72" t="s">
        <v>231</v>
      </c>
    </row>
    <row r="63" spans="1:1">
      <c r="A63" s="72" t="s">
        <v>261</v>
      </c>
    </row>
    <row r="64" spans="1:1">
      <c r="A64" s="72" t="s">
        <v>233</v>
      </c>
    </row>
    <row r="65" spans="1:1">
      <c r="A65" s="72" t="s">
        <v>262</v>
      </c>
    </row>
    <row r="67" spans="1:1">
      <c r="A67" s="72" t="s">
        <v>263</v>
      </c>
    </row>
    <row r="68" spans="1:1">
      <c r="A68" s="72" t="s">
        <v>229</v>
      </c>
    </row>
    <row r="69" spans="1:1">
      <c r="A69" s="72" t="s">
        <v>232</v>
      </c>
    </row>
    <row r="70" spans="1:1">
      <c r="A70" s="72" t="s">
        <v>231</v>
      </c>
    </row>
    <row r="71" spans="1:1">
      <c r="A71" s="72" t="s">
        <v>246</v>
      </c>
    </row>
    <row r="72" spans="1:1">
      <c r="A72" s="72" t="s">
        <v>233</v>
      </c>
    </row>
    <row r="73" spans="1:1">
      <c r="A73" s="72" t="s">
        <v>264</v>
      </c>
    </row>
    <row r="75" spans="1:1">
      <c r="A75" s="72" t="s">
        <v>265</v>
      </c>
    </row>
    <row r="76" spans="1:1">
      <c r="A76" s="72" t="s">
        <v>229</v>
      </c>
    </row>
    <row r="77" spans="1:1">
      <c r="A77" s="72" t="s">
        <v>253</v>
      </c>
    </row>
    <row r="78" spans="1:1">
      <c r="A78" s="72" t="s">
        <v>231</v>
      </c>
    </row>
    <row r="79" spans="1:1">
      <c r="A79" s="72" t="s">
        <v>266</v>
      </c>
    </row>
    <row r="80" spans="1:1">
      <c r="A80" s="72" t="s">
        <v>233</v>
      </c>
    </row>
    <row r="81" spans="1:1">
      <c r="A81" s="72" t="s">
        <v>255</v>
      </c>
    </row>
    <row r="83" spans="1:1">
      <c r="A83" s="72" t="s">
        <v>267</v>
      </c>
    </row>
    <row r="84" spans="1:1">
      <c r="A84" s="72" t="s">
        <v>229</v>
      </c>
    </row>
    <row r="85" spans="1:1">
      <c r="A85" s="72" t="s">
        <v>236</v>
      </c>
    </row>
    <row r="86" spans="1:1">
      <c r="A86" s="72" t="s">
        <v>237</v>
      </c>
    </row>
    <row r="87" spans="1:1">
      <c r="A87" s="72" t="s">
        <v>238</v>
      </c>
    </row>
    <row r="88" spans="1:1">
      <c r="A88" s="72" t="s">
        <v>239</v>
      </c>
    </row>
    <row r="89" spans="1:1">
      <c r="A89" s="72" t="s">
        <v>240</v>
      </c>
    </row>
    <row r="90" spans="1:1">
      <c r="A90" s="72" t="s">
        <v>241</v>
      </c>
    </row>
    <row r="91" spans="1:1">
      <c r="A91" s="72" t="s">
        <v>242</v>
      </c>
    </row>
    <row r="92" spans="1:1">
      <c r="A92" s="72" t="s">
        <v>231</v>
      </c>
    </row>
    <row r="93" spans="1:1">
      <c r="A93" s="72" t="s">
        <v>253</v>
      </c>
    </row>
    <row r="94" spans="1:1">
      <c r="A94" s="72" t="s">
        <v>233</v>
      </c>
    </row>
    <row r="95" spans="1:1">
      <c r="A95" s="72" t="s">
        <v>268</v>
      </c>
    </row>
    <row r="97" spans="1:1">
      <c r="A97" s="72" t="s">
        <v>269</v>
      </c>
    </row>
    <row r="98" spans="1:1">
      <c r="A98" s="72" t="s">
        <v>229</v>
      </c>
    </row>
    <row r="99" spans="1:1">
      <c r="A99" s="72" t="s">
        <v>253</v>
      </c>
    </row>
    <row r="100" spans="1:1">
      <c r="A100" s="72" t="s">
        <v>231</v>
      </c>
    </row>
    <row r="101" spans="1:1">
      <c r="A101" s="72" t="s">
        <v>270</v>
      </c>
    </row>
    <row r="102" spans="1:1">
      <c r="A102" s="72" t="s">
        <v>233</v>
      </c>
    </row>
    <row r="103" spans="1:1">
      <c r="A103" s="72" t="s">
        <v>255</v>
      </c>
    </row>
    <row r="105" spans="1:1">
      <c r="A105" s="72" t="s">
        <v>271</v>
      </c>
    </row>
    <row r="106" spans="1:1">
      <c r="A106" s="72" t="s">
        <v>229</v>
      </c>
    </row>
    <row r="107" spans="1:1">
      <c r="A107" s="72" t="s">
        <v>272</v>
      </c>
    </row>
    <row r="108" spans="1:1">
      <c r="A108" s="72" t="s">
        <v>231</v>
      </c>
    </row>
    <row r="109" spans="1:1">
      <c r="A109" s="72" t="s">
        <v>273</v>
      </c>
    </row>
    <row r="110" spans="1:1">
      <c r="A110" s="72" t="s">
        <v>233</v>
      </c>
    </row>
    <row r="111" spans="1:1">
      <c r="A111" s="72" t="s">
        <v>274</v>
      </c>
    </row>
    <row r="114" spans="1:1">
      <c r="A114" s="72" t="s">
        <v>275</v>
      </c>
    </row>
    <row r="115" spans="1:1">
      <c r="A115" s="72" t="s">
        <v>229</v>
      </c>
    </row>
    <row r="116" spans="1:1">
      <c r="A116" s="72" t="s">
        <v>276</v>
      </c>
    </row>
    <row r="117" spans="1:1">
      <c r="A117" s="72" t="s">
        <v>231</v>
      </c>
    </row>
    <row r="118" spans="1:1">
      <c r="A118" s="72" t="s">
        <v>277</v>
      </c>
    </row>
    <row r="119" spans="1:1">
      <c r="A119" s="72" t="s">
        <v>278</v>
      </c>
    </row>
    <row r="120" spans="1:1">
      <c r="A120" s="72" t="s">
        <v>279</v>
      </c>
    </row>
    <row r="122" spans="1:1">
      <c r="A122" s="72" t="s">
        <v>280</v>
      </c>
    </row>
    <row r="123" spans="1:1">
      <c r="A123" s="72" t="s">
        <v>229</v>
      </c>
    </row>
    <row r="124" spans="1:1">
      <c r="A124" s="72" t="s">
        <v>249</v>
      </c>
    </row>
    <row r="125" spans="1:1">
      <c r="A125" s="72" t="s">
        <v>231</v>
      </c>
    </row>
    <row r="126" spans="1:1">
      <c r="A126" s="72" t="s">
        <v>249</v>
      </c>
    </row>
    <row r="127" spans="1:1">
      <c r="A127" s="72" t="s">
        <v>233</v>
      </c>
    </row>
    <row r="128" spans="1:1">
      <c r="A128" s="72" t="s">
        <v>281</v>
      </c>
    </row>
    <row r="130" spans="1:1">
      <c r="A130" s="72" t="s">
        <v>282</v>
      </c>
    </row>
    <row r="131" spans="1:1">
      <c r="A131" s="72" t="s">
        <v>229</v>
      </c>
    </row>
    <row r="132" spans="1:1">
      <c r="A132" s="72" t="s">
        <v>283</v>
      </c>
    </row>
    <row r="133" spans="1:1">
      <c r="A133" s="72" t="s">
        <v>231</v>
      </c>
    </row>
    <row r="134" spans="1:1">
      <c r="A134" s="72" t="s">
        <v>284</v>
      </c>
    </row>
    <row r="135" spans="1:1">
      <c r="A135" s="72" t="s">
        <v>233</v>
      </c>
    </row>
    <row r="136" spans="1:1">
      <c r="A136" s="72" t="s">
        <v>285</v>
      </c>
    </row>
    <row r="138" spans="1:1">
      <c r="A138" s="72" t="s">
        <v>286</v>
      </c>
    </row>
    <row r="139" spans="1:1">
      <c r="A139" s="72" t="s">
        <v>229</v>
      </c>
    </row>
    <row r="140" spans="1:1">
      <c r="A140" s="72" t="s">
        <v>287</v>
      </c>
    </row>
    <row r="141" spans="1:1">
      <c r="A141" s="72" t="s">
        <v>231</v>
      </c>
    </row>
    <row r="142" spans="1:1">
      <c r="A142" s="72" t="s">
        <v>287</v>
      </c>
    </row>
    <row r="143" spans="1:1">
      <c r="A143" s="72" t="s">
        <v>233</v>
      </c>
    </row>
    <row r="144" spans="1:1">
      <c r="A144" s="72" t="s">
        <v>288</v>
      </c>
    </row>
    <row r="146" spans="1:1">
      <c r="A146" s="72" t="s">
        <v>289</v>
      </c>
    </row>
    <row r="147" spans="1:1">
      <c r="A147" s="72" t="s">
        <v>290</v>
      </c>
    </row>
    <row r="148" spans="1:1">
      <c r="A148" s="72" t="s">
        <v>229</v>
      </c>
    </row>
    <row r="149" spans="1:1">
      <c r="A149" s="72" t="s">
        <v>291</v>
      </c>
    </row>
    <row r="150" spans="1:1">
      <c r="A150" s="72" t="s">
        <v>292</v>
      </c>
    </row>
    <row r="151" spans="1:1">
      <c r="A151" s="72" t="s">
        <v>231</v>
      </c>
    </row>
    <row r="152" spans="1:1">
      <c r="A152" s="72" t="s">
        <v>293</v>
      </c>
    </row>
    <row r="153" spans="1:1">
      <c r="A153" s="72" t="s">
        <v>233</v>
      </c>
    </row>
    <row r="154" spans="1:1">
      <c r="A154" s="72" t="s">
        <v>294</v>
      </c>
    </row>
    <row r="156" spans="1:1">
      <c r="A156" s="72" t="s">
        <v>295</v>
      </c>
    </row>
    <row r="157" spans="1:1">
      <c r="A157" s="72" t="s">
        <v>229</v>
      </c>
    </row>
    <row r="158" spans="1:1">
      <c r="A158" s="72" t="s">
        <v>296</v>
      </c>
    </row>
    <row r="159" spans="1:1">
      <c r="A159" s="72" t="s">
        <v>231</v>
      </c>
    </row>
    <row r="160" spans="1:1">
      <c r="A160" s="72" t="s">
        <v>297</v>
      </c>
    </row>
    <row r="161" spans="1:1">
      <c r="A161" s="72" t="s">
        <v>298</v>
      </c>
    </row>
    <row r="162" spans="1:1">
      <c r="A162" s="72" t="s">
        <v>233</v>
      </c>
    </row>
    <row r="163" spans="1:1">
      <c r="A163" s="72" t="s">
        <v>299</v>
      </c>
    </row>
    <row r="165" spans="1:1">
      <c r="A165" s="72" t="s">
        <v>300</v>
      </c>
    </row>
    <row r="166" spans="1:1">
      <c r="A166" s="72" t="s">
        <v>229</v>
      </c>
    </row>
    <row r="167" spans="1:1">
      <c r="A167" s="72" t="s">
        <v>301</v>
      </c>
    </row>
    <row r="168" spans="1:1">
      <c r="A168" s="72" t="s">
        <v>231</v>
      </c>
    </row>
    <row r="169" spans="1:1">
      <c r="A169" s="72" t="s">
        <v>302</v>
      </c>
    </row>
    <row r="170" spans="1:1">
      <c r="A170" s="72" t="s">
        <v>233</v>
      </c>
    </row>
    <row r="171" spans="1:1">
      <c r="A171" s="72" t="s">
        <v>303</v>
      </c>
    </row>
    <row r="173" spans="1:1">
      <c r="A173" s="72" t="s">
        <v>304</v>
      </c>
    </row>
    <row r="174" spans="1:1">
      <c r="A174" s="72" t="s">
        <v>229</v>
      </c>
    </row>
    <row r="175" spans="1:1">
      <c r="A175" s="72" t="s">
        <v>305</v>
      </c>
    </row>
    <row r="176" spans="1:1">
      <c r="A176" s="72" t="s">
        <v>306</v>
      </c>
    </row>
    <row r="177" spans="1:1">
      <c r="A177" s="72" t="s">
        <v>232</v>
      </c>
    </row>
    <row r="178" spans="1:1">
      <c r="A178" s="72" t="s">
        <v>231</v>
      </c>
    </row>
    <row r="179" spans="1:1">
      <c r="A179" s="72" t="s">
        <v>307</v>
      </c>
    </row>
    <row r="180" spans="1:1">
      <c r="A180" s="72" t="s">
        <v>233</v>
      </c>
    </row>
    <row r="181" spans="1:1">
      <c r="A181" s="72" t="s">
        <v>308</v>
      </c>
    </row>
    <row r="183" spans="1:1">
      <c r="A183" s="72" t="s">
        <v>309</v>
      </c>
    </row>
    <row r="184" spans="1:1">
      <c r="A184" s="72" t="s">
        <v>229</v>
      </c>
    </row>
    <row r="185" spans="1:1">
      <c r="A185" s="72" t="s">
        <v>310</v>
      </c>
    </row>
    <row r="186" spans="1:1">
      <c r="A186" s="72" t="s">
        <v>306</v>
      </c>
    </row>
    <row r="187" spans="1:1">
      <c r="A187" s="72" t="s">
        <v>232</v>
      </c>
    </row>
    <row r="188" spans="1:1">
      <c r="A188" s="72" t="s">
        <v>231</v>
      </c>
    </row>
    <row r="189" spans="1:1">
      <c r="A189" s="72" t="s">
        <v>310</v>
      </c>
    </row>
    <row r="190" spans="1:1">
      <c r="A190" s="72" t="s">
        <v>233</v>
      </c>
    </row>
    <row r="191" spans="1:1">
      <c r="A191" s="72" t="s">
        <v>311</v>
      </c>
    </row>
    <row r="194" spans="1:1">
      <c r="A194" s="72" t="s">
        <v>312</v>
      </c>
    </row>
    <row r="195" spans="1:1">
      <c r="A195" s="72" t="s">
        <v>229</v>
      </c>
    </row>
    <row r="196" spans="1:1">
      <c r="A196" s="72" t="s">
        <v>313</v>
      </c>
    </row>
    <row r="197" spans="1:1">
      <c r="A197" s="72" t="s">
        <v>297</v>
      </c>
    </row>
    <row r="198" spans="1:1">
      <c r="A198" s="72" t="s">
        <v>306</v>
      </c>
    </row>
    <row r="199" spans="1:1">
      <c r="A199" s="72" t="s">
        <v>314</v>
      </c>
    </row>
    <row r="200" spans="1:1">
      <c r="A200" s="72" t="s">
        <v>231</v>
      </c>
    </row>
    <row r="201" spans="1:1">
      <c r="A201" s="72" t="s">
        <v>315</v>
      </c>
    </row>
    <row r="202" spans="1:1">
      <c r="A202" s="72" t="s">
        <v>316</v>
      </c>
    </row>
    <row r="203" spans="1:1">
      <c r="A203" s="72" t="s">
        <v>233</v>
      </c>
    </row>
    <row r="204" spans="1:1">
      <c r="A204" s="72" t="s">
        <v>317</v>
      </c>
    </row>
    <row r="206" spans="1:1">
      <c r="A206" s="72" t="s">
        <v>318</v>
      </c>
    </row>
    <row r="207" spans="1:1">
      <c r="A207" s="72" t="s">
        <v>229</v>
      </c>
    </row>
    <row r="208" spans="1:1">
      <c r="A208" s="72" t="s">
        <v>319</v>
      </c>
    </row>
    <row r="209" spans="1:1">
      <c r="A209" s="72" t="s">
        <v>306</v>
      </c>
    </row>
    <row r="210" spans="1:1">
      <c r="A210" s="72" t="s">
        <v>320</v>
      </c>
    </row>
    <row r="211" spans="1:1">
      <c r="A211" s="72" t="s">
        <v>231</v>
      </c>
    </row>
    <row r="212" spans="1:1">
      <c r="A212" s="72" t="s">
        <v>321</v>
      </c>
    </row>
    <row r="213" spans="1:1">
      <c r="A213" s="72" t="s">
        <v>233</v>
      </c>
    </row>
    <row r="214" spans="1:1">
      <c r="A214" s="72" t="s">
        <v>322</v>
      </c>
    </row>
    <row r="216" spans="1:1">
      <c r="A216" s="72" t="s">
        <v>323</v>
      </c>
    </row>
    <row r="217" spans="1:1">
      <c r="A217" s="72" t="s">
        <v>229</v>
      </c>
    </row>
    <row r="218" spans="1:1">
      <c r="A218" s="72" t="s">
        <v>249</v>
      </c>
    </row>
    <row r="219" spans="1:1">
      <c r="A219" s="72" t="s">
        <v>306</v>
      </c>
    </row>
    <row r="220" spans="1:1">
      <c r="A220" s="72" t="s">
        <v>324</v>
      </c>
    </row>
    <row r="221" spans="1:1">
      <c r="A221" s="72" t="s">
        <v>231</v>
      </c>
    </row>
    <row r="222" spans="1:1">
      <c r="A222" s="72" t="s">
        <v>325</v>
      </c>
    </row>
    <row r="223" spans="1:1">
      <c r="A223" s="72" t="s">
        <v>233</v>
      </c>
    </row>
    <row r="224" spans="1:1">
      <c r="A224" s="72" t="s">
        <v>326</v>
      </c>
    </row>
    <row r="226" spans="1:1">
      <c r="A226" s="72" t="s">
        <v>327</v>
      </c>
    </row>
    <row r="227" spans="1:1">
      <c r="A227" s="72" t="s">
        <v>229</v>
      </c>
    </row>
    <row r="228" spans="1:1">
      <c r="A228" s="72" t="s">
        <v>328</v>
      </c>
    </row>
    <row r="229" spans="1:1">
      <c r="A229" s="72" t="s">
        <v>306</v>
      </c>
    </row>
    <row r="230" spans="1:1">
      <c r="A230" s="72" t="s">
        <v>329</v>
      </c>
    </row>
    <row r="231" spans="1:1">
      <c r="A231" s="72" t="s">
        <v>231</v>
      </c>
    </row>
    <row r="232" spans="1:1">
      <c r="A232" s="72" t="s">
        <v>330</v>
      </c>
    </row>
    <row r="233" spans="1:1">
      <c r="A233" s="72" t="s">
        <v>233</v>
      </c>
    </row>
    <row r="234" spans="1:1">
      <c r="A234" s="72" t="s">
        <v>331</v>
      </c>
    </row>
    <row r="236" spans="1:1">
      <c r="A236" s="72" t="s">
        <v>332</v>
      </c>
    </row>
    <row r="237" spans="1:1">
      <c r="A237" s="72" t="s">
        <v>229</v>
      </c>
    </row>
    <row r="238" spans="1:1">
      <c r="A238" s="72" t="s">
        <v>333</v>
      </c>
    </row>
    <row r="239" spans="1:1">
      <c r="A239" s="72" t="s">
        <v>306</v>
      </c>
    </row>
    <row r="240" spans="1:1">
      <c r="A240" s="72" t="s">
        <v>334</v>
      </c>
    </row>
    <row r="241" spans="1:1">
      <c r="A241" s="72" t="s">
        <v>231</v>
      </c>
    </row>
    <row r="242" spans="1:1">
      <c r="A242" s="72" t="s">
        <v>335</v>
      </c>
    </row>
    <row r="243" spans="1:1">
      <c r="A243" s="72" t="s">
        <v>233</v>
      </c>
    </row>
    <row r="244" spans="1:1">
      <c r="A244" s="72" t="s">
        <v>336</v>
      </c>
    </row>
    <row r="246" spans="1:1">
      <c r="A246" s="72" t="s">
        <v>337</v>
      </c>
    </row>
    <row r="247" spans="1:1">
      <c r="A247" s="72" t="s">
        <v>229</v>
      </c>
    </row>
    <row r="248" spans="1:1">
      <c r="A248" s="72" t="s">
        <v>338</v>
      </c>
    </row>
    <row r="249" spans="1:1">
      <c r="A249" s="72" t="s">
        <v>306</v>
      </c>
    </row>
    <row r="250" spans="1:1">
      <c r="A250" s="72" t="s">
        <v>339</v>
      </c>
    </row>
    <row r="251" spans="1:1">
      <c r="A251" s="72" t="s">
        <v>231</v>
      </c>
    </row>
    <row r="252" spans="1:1">
      <c r="A252" s="72" t="s">
        <v>340</v>
      </c>
    </row>
    <row r="253" spans="1:1">
      <c r="A253" s="72" t="s">
        <v>233</v>
      </c>
    </row>
    <row r="254" spans="1:1">
      <c r="A254" s="72" t="s">
        <v>341</v>
      </c>
    </row>
    <row r="256" spans="1:1">
      <c r="A256" s="72" t="s">
        <v>342</v>
      </c>
    </row>
    <row r="257" spans="1:1">
      <c r="A257" s="72" t="s">
        <v>229</v>
      </c>
    </row>
    <row r="258" spans="1:1">
      <c r="A258" s="72" t="s">
        <v>249</v>
      </c>
    </row>
    <row r="259" spans="1:1">
      <c r="A259" s="72" t="s">
        <v>306</v>
      </c>
    </row>
    <row r="260" spans="1:1">
      <c r="A260" s="72" t="s">
        <v>343</v>
      </c>
    </row>
    <row r="261" spans="1:1">
      <c r="A261" s="72" t="s">
        <v>231</v>
      </c>
    </row>
    <row r="262" spans="1:1">
      <c r="A262" s="72" t="s">
        <v>344</v>
      </c>
    </row>
    <row r="263" spans="1:1">
      <c r="A263" s="72" t="s">
        <v>233</v>
      </c>
    </row>
    <row r="264" spans="1:1">
      <c r="A264" s="72" t="s">
        <v>345</v>
      </c>
    </row>
    <row r="266" spans="1:1">
      <c r="A266" s="72" t="s">
        <v>346</v>
      </c>
    </row>
    <row r="267" spans="1:1">
      <c r="A267" s="72" t="s">
        <v>229</v>
      </c>
    </row>
    <row r="268" spans="1:1">
      <c r="A268" s="72" t="s">
        <v>347</v>
      </c>
    </row>
    <row r="269" spans="1:1">
      <c r="A269" s="72" t="s">
        <v>306</v>
      </c>
    </row>
    <row r="270" spans="1:1">
      <c r="A270" s="72" t="s">
        <v>348</v>
      </c>
    </row>
    <row r="271" spans="1:1">
      <c r="A271" s="72" t="s">
        <v>231</v>
      </c>
    </row>
    <row r="272" spans="1:1">
      <c r="A272" s="72" t="s">
        <v>349</v>
      </c>
    </row>
    <row r="273" spans="1:1">
      <c r="A273" s="72" t="s">
        <v>233</v>
      </c>
    </row>
    <row r="274" spans="1:1">
      <c r="A274" s="72" t="s">
        <v>350</v>
      </c>
    </row>
    <row r="276" spans="1:1">
      <c r="A276" s="72" t="s">
        <v>351</v>
      </c>
    </row>
    <row r="277" spans="1:1">
      <c r="A277" s="72" t="s">
        <v>229</v>
      </c>
    </row>
    <row r="278" spans="1:1">
      <c r="A278" s="72" t="s">
        <v>352</v>
      </c>
    </row>
    <row r="279" spans="1:1">
      <c r="A279" s="72" t="s">
        <v>306</v>
      </c>
    </row>
    <row r="280" spans="1:1">
      <c r="A280" s="72" t="s">
        <v>232</v>
      </c>
    </row>
    <row r="281" spans="1:1">
      <c r="A281" s="72" t="s">
        <v>231</v>
      </c>
    </row>
    <row r="282" spans="1:1">
      <c r="A282" s="72" t="s">
        <v>353</v>
      </c>
    </row>
    <row r="283" spans="1:1">
      <c r="A283" s="72" t="s">
        <v>233</v>
      </c>
    </row>
    <row r="284" spans="1:1">
      <c r="A284" s="72" t="s">
        <v>274</v>
      </c>
    </row>
    <row r="286" spans="1:1">
      <c r="A286" s="72" t="s">
        <v>354</v>
      </c>
    </row>
    <row r="287" spans="1:1">
      <c r="A287" s="72" t="s">
        <v>229</v>
      </c>
    </row>
    <row r="288" spans="1:1">
      <c r="A288" s="72" t="s">
        <v>355</v>
      </c>
    </row>
    <row r="289" spans="1:1">
      <c r="A289" s="72" t="s">
        <v>306</v>
      </c>
    </row>
    <row r="290" spans="1:1">
      <c r="A290" s="72" t="s">
        <v>356</v>
      </c>
    </row>
    <row r="291" spans="1:1">
      <c r="A291" s="72" t="s">
        <v>231</v>
      </c>
    </row>
    <row r="292" spans="1:1">
      <c r="A292" s="72" t="s">
        <v>357</v>
      </c>
    </row>
    <row r="293" spans="1:1">
      <c r="A293" s="72" t="s">
        <v>233</v>
      </c>
    </row>
    <row r="294" spans="1:1">
      <c r="A294" s="72" t="s">
        <v>358</v>
      </c>
    </row>
    <row r="296" spans="1:1">
      <c r="A296" s="72" t="s">
        <v>359</v>
      </c>
    </row>
    <row r="297" spans="1:1">
      <c r="A297" s="72" t="s">
        <v>229</v>
      </c>
    </row>
    <row r="298" spans="1:1">
      <c r="A298" s="72" t="s">
        <v>360</v>
      </c>
    </row>
    <row r="299" spans="1:1">
      <c r="A299" s="72" t="s">
        <v>306</v>
      </c>
    </row>
    <row r="300" spans="1:1">
      <c r="A300" s="72" t="s">
        <v>361</v>
      </c>
    </row>
    <row r="301" spans="1:1">
      <c r="A301" s="72" t="s">
        <v>231</v>
      </c>
    </row>
    <row r="302" spans="1:1">
      <c r="A302" s="72" t="s">
        <v>362</v>
      </c>
    </row>
    <row r="303" spans="1:1">
      <c r="A303" s="72" t="s">
        <v>233</v>
      </c>
    </row>
    <row r="304" spans="1:1">
      <c r="A304" s="72" t="s">
        <v>363</v>
      </c>
    </row>
    <row r="306" spans="1:1">
      <c r="A306" s="72" t="s">
        <v>364</v>
      </c>
    </row>
    <row r="307" spans="1:1">
      <c r="A307" s="72" t="s">
        <v>229</v>
      </c>
    </row>
    <row r="308" spans="1:1">
      <c r="A308" s="72" t="s">
        <v>365</v>
      </c>
    </row>
    <row r="309" spans="1:1">
      <c r="A309" s="72" t="s">
        <v>306</v>
      </c>
    </row>
    <row r="310" spans="1:1">
      <c r="A310" s="72" t="s">
        <v>366</v>
      </c>
    </row>
    <row r="311" spans="1:1">
      <c r="A311" s="72" t="s">
        <v>231</v>
      </c>
    </row>
    <row r="312" spans="1:1">
      <c r="A312" s="72" t="s">
        <v>367</v>
      </c>
    </row>
    <row r="313" spans="1:1">
      <c r="A313" s="72" t="s">
        <v>233</v>
      </c>
    </row>
    <row r="314" spans="1:1">
      <c r="A314" s="72" t="s">
        <v>368</v>
      </c>
    </row>
    <row r="316" spans="1:1">
      <c r="A316" s="72" t="s">
        <v>369</v>
      </c>
    </row>
    <row r="317" spans="1:1">
      <c r="A317" s="72" t="s">
        <v>229</v>
      </c>
    </row>
    <row r="318" spans="1:1">
      <c r="A318" s="72" t="s">
        <v>370</v>
      </c>
    </row>
    <row r="319" spans="1:1">
      <c r="A319" s="72" t="s">
        <v>306</v>
      </c>
    </row>
    <row r="320" spans="1:1">
      <c r="A320" s="72" t="s">
        <v>371</v>
      </c>
    </row>
    <row r="321" spans="1:1">
      <c r="A321" s="72" t="s">
        <v>231</v>
      </c>
    </row>
    <row r="322" spans="1:1">
      <c r="A322" s="72" t="s">
        <v>367</v>
      </c>
    </row>
    <row r="323" spans="1:1">
      <c r="A323" s="72" t="s">
        <v>233</v>
      </c>
    </row>
    <row r="324" spans="1:1">
      <c r="A324" s="72" t="s">
        <v>324</v>
      </c>
    </row>
    <row r="326" spans="1:1">
      <c r="A326" s="72" t="s">
        <v>372</v>
      </c>
    </row>
    <row r="327" spans="1:1">
      <c r="A327" s="72" t="s">
        <v>229</v>
      </c>
    </row>
    <row r="328" spans="1:1">
      <c r="A328" s="72" t="s">
        <v>373</v>
      </c>
    </row>
    <row r="329" spans="1:1">
      <c r="A329" s="72" t="s">
        <v>306</v>
      </c>
    </row>
    <row r="330" spans="1:1">
      <c r="A330" s="72" t="s">
        <v>374</v>
      </c>
    </row>
    <row r="331" spans="1:1">
      <c r="A331" s="72" t="s">
        <v>231</v>
      </c>
    </row>
    <row r="332" spans="1:1">
      <c r="A332" s="72" t="s">
        <v>249</v>
      </c>
    </row>
    <row r="333" spans="1:1">
      <c r="A333" s="72" t="s">
        <v>233</v>
      </c>
    </row>
    <row r="334" spans="1:1">
      <c r="A334" s="72" t="s">
        <v>375</v>
      </c>
    </row>
    <row r="336" spans="1:1">
      <c r="A336" s="72" t="s">
        <v>376</v>
      </c>
    </row>
    <row r="337" spans="1:1">
      <c r="A337" s="72" t="s">
        <v>229</v>
      </c>
    </row>
    <row r="338" spans="1:1">
      <c r="A338" s="72" t="s">
        <v>377</v>
      </c>
    </row>
    <row r="339" spans="1:1">
      <c r="A339" s="72" t="s">
        <v>306</v>
      </c>
    </row>
    <row r="340" spans="1:1">
      <c r="A340" s="72" t="s">
        <v>378</v>
      </c>
    </row>
    <row r="341" spans="1:1">
      <c r="A341" s="72" t="s">
        <v>231</v>
      </c>
    </row>
    <row r="342" spans="1:1">
      <c r="A342" s="72" t="s">
        <v>379</v>
      </c>
    </row>
    <row r="343" spans="1:1">
      <c r="A343" s="72" t="s">
        <v>233</v>
      </c>
    </row>
    <row r="344" spans="1:1">
      <c r="A344" s="72" t="s">
        <v>341</v>
      </c>
    </row>
    <row r="346" spans="1:1">
      <c r="A346" s="72" t="s">
        <v>380</v>
      </c>
    </row>
    <row r="347" spans="1:1">
      <c r="A347" s="72" t="s">
        <v>229</v>
      </c>
    </row>
    <row r="348" spans="1:1">
      <c r="A348" s="72" t="s">
        <v>379</v>
      </c>
    </row>
    <row r="349" spans="1:1">
      <c r="A349" s="72" t="s">
        <v>306</v>
      </c>
    </row>
    <row r="350" spans="1:1">
      <c r="A350" s="72" t="s">
        <v>381</v>
      </c>
    </row>
    <row r="351" spans="1:1">
      <c r="A351" s="72" t="s">
        <v>231</v>
      </c>
    </row>
    <row r="352" spans="1:1">
      <c r="A352" s="72" t="s">
        <v>382</v>
      </c>
    </row>
    <row r="353" spans="1:1">
      <c r="A353" s="72" t="s">
        <v>233</v>
      </c>
    </row>
    <row r="354" spans="1:1">
      <c r="A354" s="72" t="s">
        <v>383</v>
      </c>
    </row>
    <row r="356" spans="1:1">
      <c r="A356" s="72" t="s">
        <v>384</v>
      </c>
    </row>
    <row r="357" spans="1:1">
      <c r="A357" s="72" t="s">
        <v>229</v>
      </c>
    </row>
    <row r="358" spans="1:1">
      <c r="A358" s="72" t="e">
        <v>#NAME?</v>
      </c>
    </row>
    <row r="359" spans="1:1">
      <c r="A359" s="72" t="s">
        <v>306</v>
      </c>
    </row>
    <row r="360" spans="1:1">
      <c r="A360" s="72" t="s">
        <v>385</v>
      </c>
    </row>
    <row r="361" spans="1:1">
      <c r="A361" s="72" t="s">
        <v>231</v>
      </c>
    </row>
    <row r="362" spans="1:1">
      <c r="A362" s="72" t="s">
        <v>386</v>
      </c>
    </row>
    <row r="363" spans="1:1">
      <c r="A363" s="72" t="s">
        <v>233</v>
      </c>
    </row>
    <row r="364" spans="1:1">
      <c r="A364" s="72" t="s">
        <v>324</v>
      </c>
    </row>
    <row r="366" spans="1:1">
      <c r="A366" s="72" t="s">
        <v>387</v>
      </c>
    </row>
    <row r="367" spans="1:1">
      <c r="A367" s="72" t="s">
        <v>229</v>
      </c>
    </row>
    <row r="368" spans="1:1">
      <c r="A368" s="72" t="s">
        <v>249</v>
      </c>
    </row>
    <row r="369" spans="1:1">
      <c r="A369" s="72" t="s">
        <v>306</v>
      </c>
    </row>
    <row r="370" spans="1:1">
      <c r="A370" s="72" t="s">
        <v>232</v>
      </c>
    </row>
    <row r="371" spans="1:1">
      <c r="A371" s="72" t="s">
        <v>231</v>
      </c>
    </row>
    <row r="372" spans="1:1">
      <c r="A372" s="72" t="s">
        <v>388</v>
      </c>
    </row>
    <row r="373" spans="1:1">
      <c r="A373" s="72" t="s">
        <v>233</v>
      </c>
    </row>
    <row r="374" spans="1:1">
      <c r="A374" s="72" t="s">
        <v>389</v>
      </c>
    </row>
    <row r="376" spans="1:1">
      <c r="A376" s="72" t="s">
        <v>390</v>
      </c>
    </row>
    <row r="377" spans="1:1">
      <c r="A377" s="72" t="s">
        <v>229</v>
      </c>
    </row>
    <row r="378" spans="1:1">
      <c r="A378" s="72" t="s">
        <v>230</v>
      </c>
    </row>
    <row r="379" spans="1:1">
      <c r="A379" s="72" t="s">
        <v>306</v>
      </c>
    </row>
    <row r="380" spans="1:1">
      <c r="A380" s="72" t="s">
        <v>324</v>
      </c>
    </row>
    <row r="381" spans="1:1">
      <c r="A381" s="72" t="s">
        <v>231</v>
      </c>
    </row>
    <row r="382" spans="1:1">
      <c r="A382" s="72" t="s">
        <v>391</v>
      </c>
    </row>
    <row r="383" spans="1:1">
      <c r="A383" s="72" t="s">
        <v>233</v>
      </c>
    </row>
    <row r="384" spans="1:1">
      <c r="A384" s="72" t="s">
        <v>324</v>
      </c>
    </row>
    <row r="385" spans="1:1" ht="19.5" customHeight="1"/>
    <row r="386" spans="1:1" ht="141.75" customHeight="1">
      <c r="A386" s="71" t="s">
        <v>392</v>
      </c>
    </row>
    <row r="387" spans="1:1">
      <c r="A387" s="71"/>
    </row>
    <row r="388" spans="1:1" ht="20.25" customHeight="1">
      <c r="A388" s="72" t="s">
        <v>393</v>
      </c>
    </row>
    <row r="389" spans="1:1" ht="180" customHeight="1">
      <c r="A389" s="71" t="s">
        <v>394</v>
      </c>
    </row>
    <row r="391" spans="1:1">
      <c r="A391" s="71" t="s">
        <v>395</v>
      </c>
    </row>
    <row r="392" spans="1:1" ht="114.75">
      <c r="A392" s="71" t="s">
        <v>396</v>
      </c>
    </row>
    <row r="394" spans="1:1" ht="127.5">
      <c r="A394" s="71" t="s">
        <v>397</v>
      </c>
    </row>
    <row r="396" spans="1:1" ht="127.5">
      <c r="A396" s="71" t="s">
        <v>398</v>
      </c>
    </row>
    <row r="398" spans="1:1">
      <c r="A398" s="72" t="s">
        <v>399</v>
      </c>
    </row>
    <row r="399" spans="1:1" ht="114.75">
      <c r="A399" s="71" t="s">
        <v>396</v>
      </c>
    </row>
    <row r="401" spans="1:1">
      <c r="A401" s="72" t="s">
        <v>400</v>
      </c>
    </row>
    <row r="402" spans="1:1" ht="114.75">
      <c r="A402" s="71" t="s">
        <v>396</v>
      </c>
    </row>
    <row r="403" spans="1:1">
      <c r="A403" s="71"/>
    </row>
    <row r="404" spans="1:1">
      <c r="A404" s="71" t="s">
        <v>401</v>
      </c>
    </row>
    <row r="405" spans="1:1" ht="114.75">
      <c r="A405" s="71" t="s">
        <v>402</v>
      </c>
    </row>
    <row r="406" spans="1:1">
      <c r="A406" s="71"/>
    </row>
    <row r="408" spans="1:1">
      <c r="A408" s="72" t="s">
        <v>403</v>
      </c>
    </row>
    <row r="409" spans="1:1" ht="127.5">
      <c r="A409" s="71" t="s">
        <v>404</v>
      </c>
    </row>
    <row r="411" spans="1:1">
      <c r="A411" s="72" t="s">
        <v>405</v>
      </c>
    </row>
    <row r="412" spans="1:1" ht="114.75">
      <c r="A412" s="71" t="s">
        <v>396</v>
      </c>
    </row>
    <row r="414" spans="1:1">
      <c r="A414" s="72" t="s">
        <v>406</v>
      </c>
    </row>
    <row r="415" spans="1:1" ht="114.75">
      <c r="A415" s="71" t="s">
        <v>396</v>
      </c>
    </row>
    <row r="417" spans="1:1">
      <c r="A417" s="72" t="s">
        <v>407</v>
      </c>
    </row>
    <row r="418" spans="1:1" ht="165.75">
      <c r="A418" s="71" t="s">
        <v>408</v>
      </c>
    </row>
    <row r="420" spans="1:1">
      <c r="A420" s="72" t="s">
        <v>409</v>
      </c>
    </row>
    <row r="421" spans="1:1" ht="114.75">
      <c r="A421" s="71" t="s">
        <v>396</v>
      </c>
    </row>
    <row r="423" spans="1:1">
      <c r="A423" s="71"/>
    </row>
    <row r="424" spans="1:1">
      <c r="A424" s="71" t="s">
        <v>410</v>
      </c>
    </row>
    <row r="425" spans="1:1" ht="191.25">
      <c r="A425" s="71" t="s">
        <v>411</v>
      </c>
    </row>
    <row r="426" spans="1:1" ht="16.5" customHeight="1">
      <c r="A426" s="71"/>
    </row>
    <row r="428" spans="1:1">
      <c r="A428" s="72" t="s">
        <v>412</v>
      </c>
    </row>
    <row r="429" spans="1:1" ht="114.75">
      <c r="A429" s="71" t="s">
        <v>396</v>
      </c>
    </row>
    <row r="431" spans="1:1">
      <c r="A431" s="72" t="s">
        <v>413</v>
      </c>
    </row>
    <row r="432" spans="1:1" ht="140.25">
      <c r="A432" s="71" t="s">
        <v>414</v>
      </c>
    </row>
    <row r="433" spans="1:1">
      <c r="A433" s="71"/>
    </row>
    <row r="434" spans="1:1">
      <c r="A434" s="71" t="s">
        <v>410</v>
      </c>
    </row>
    <row r="435" spans="1:1" ht="127.5">
      <c r="A435" s="71" t="s">
        <v>415</v>
      </c>
    </row>
    <row r="436" spans="1:1">
      <c r="A436" s="71"/>
    </row>
    <row r="437" spans="1:1">
      <c r="A437" s="71" t="s">
        <v>416</v>
      </c>
    </row>
    <row r="438" spans="1:1" ht="114.75">
      <c r="A438" s="71" t="s">
        <v>396</v>
      </c>
    </row>
    <row r="439" spans="1:1" ht="22.5" customHeight="1">
      <c r="A439" s="71"/>
    </row>
    <row r="441" spans="1:1">
      <c r="A441" s="72" t="s">
        <v>417</v>
      </c>
    </row>
    <row r="442" spans="1:1" ht="114.75">
      <c r="A442" s="71" t="s">
        <v>418</v>
      </c>
    </row>
    <row r="444" spans="1:1">
      <c r="A444" s="72" t="s">
        <v>419</v>
      </c>
    </row>
    <row r="445" spans="1:1" ht="165.75">
      <c r="A445" s="71" t="s">
        <v>420</v>
      </c>
    </row>
    <row r="447" spans="1:1">
      <c r="A447" s="72" t="s">
        <v>421</v>
      </c>
    </row>
    <row r="448" spans="1:1" ht="114.75">
      <c r="A448" s="71" t="s">
        <v>422</v>
      </c>
    </row>
    <row r="450" spans="1:1">
      <c r="A450" s="72" t="s">
        <v>423</v>
      </c>
    </row>
    <row r="451" spans="1:1" ht="114.75">
      <c r="A451" s="71" t="s">
        <v>424</v>
      </c>
    </row>
    <row r="453" spans="1:1" ht="25.5" customHeight="1">
      <c r="A453" s="72" t="s">
        <v>425</v>
      </c>
    </row>
    <row r="454" spans="1:1" ht="409.5">
      <c r="A454" s="71" t="s">
        <v>426</v>
      </c>
    </row>
    <row r="455" spans="1:1" ht="18.75" customHeight="1"/>
    <row r="456" spans="1:1">
      <c r="A456" s="72" t="s">
        <v>427</v>
      </c>
    </row>
    <row r="457" spans="1:1" ht="114.75">
      <c r="A457" s="71" t="s">
        <v>422</v>
      </c>
    </row>
    <row r="459" spans="1:1">
      <c r="A459" s="72" t="s">
        <v>428</v>
      </c>
    </row>
    <row r="460" spans="1:1" ht="178.5">
      <c r="A460" s="71" t="s">
        <v>429</v>
      </c>
    </row>
    <row r="462" spans="1:1">
      <c r="A462" s="72" t="s">
        <v>430</v>
      </c>
    </row>
    <row r="463" spans="1:1" ht="178.5">
      <c r="A463" s="71" t="s">
        <v>431</v>
      </c>
    </row>
    <row r="465" spans="1:1">
      <c r="A465" s="72" t="s">
        <v>432</v>
      </c>
    </row>
    <row r="466" spans="1:1" ht="114.75">
      <c r="A466" s="71" t="s">
        <v>433</v>
      </c>
    </row>
    <row r="468" spans="1:1">
      <c r="A468" s="72" t="s">
        <v>434</v>
      </c>
    </row>
    <row r="469" spans="1:1" ht="114.75">
      <c r="A469" s="71" t="s">
        <v>433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H48"/>
  <sheetViews>
    <sheetView topLeftCell="A20" workbookViewId="0">
      <selection activeCell="D34" sqref="D34"/>
    </sheetView>
  </sheetViews>
  <sheetFormatPr defaultColWidth="11.42578125" defaultRowHeight="12.75"/>
  <cols>
    <col min="1" max="1" width="11.42578125" customWidth="1"/>
    <col min="2" max="2" width="14" customWidth="1"/>
  </cols>
  <sheetData>
    <row r="1" spans="2:8">
      <c r="B1" s="1" t="s">
        <v>435</v>
      </c>
    </row>
    <row r="2" spans="2:8">
      <c r="B2" s="1"/>
    </row>
    <row r="3" spans="2:8">
      <c r="B3" s="1" t="s">
        <v>436</v>
      </c>
    </row>
    <row r="5" spans="2:8">
      <c r="B5" s="108" t="s">
        <v>437</v>
      </c>
      <c r="C5" s="108" t="s">
        <v>166</v>
      </c>
      <c r="D5" s="108" t="s">
        <v>157</v>
      </c>
      <c r="E5" s="108" t="s">
        <v>171</v>
      </c>
      <c r="F5" s="108" t="s">
        <v>154</v>
      </c>
      <c r="G5" s="108" t="s">
        <v>438</v>
      </c>
      <c r="H5" s="108" t="s">
        <v>161</v>
      </c>
    </row>
    <row r="6" spans="2:8">
      <c r="B6" s="108" t="s">
        <v>166</v>
      </c>
      <c r="C6" s="109">
        <v>4</v>
      </c>
      <c r="D6" s="72">
        <v>3</v>
      </c>
      <c r="E6" s="72">
        <v>3</v>
      </c>
      <c r="F6" s="72">
        <v>3</v>
      </c>
      <c r="G6" s="72">
        <v>3</v>
      </c>
      <c r="H6" s="72">
        <v>4</v>
      </c>
    </row>
    <row r="7" spans="2:8">
      <c r="B7" s="108" t="s">
        <v>157</v>
      </c>
      <c r="C7" s="72">
        <v>4</v>
      </c>
      <c r="D7" s="109">
        <v>3</v>
      </c>
      <c r="E7" s="72">
        <v>3</v>
      </c>
      <c r="F7" s="72">
        <v>3</v>
      </c>
      <c r="G7" s="72">
        <v>3</v>
      </c>
      <c r="H7" s="72">
        <v>3</v>
      </c>
    </row>
    <row r="8" spans="2:8">
      <c r="B8" s="108" t="s">
        <v>171</v>
      </c>
      <c r="C8" s="72">
        <v>4</v>
      </c>
      <c r="D8" s="72">
        <v>3</v>
      </c>
      <c r="E8" s="109">
        <v>3</v>
      </c>
      <c r="F8" s="72">
        <v>3</v>
      </c>
      <c r="G8" s="72">
        <v>3</v>
      </c>
      <c r="H8" s="72">
        <v>4</v>
      </c>
    </row>
    <row r="9" spans="2:8">
      <c r="B9" s="108" t="s">
        <v>154</v>
      </c>
      <c r="C9" s="72">
        <v>4</v>
      </c>
      <c r="D9" s="72">
        <v>3</v>
      </c>
      <c r="E9" s="72">
        <v>3</v>
      </c>
      <c r="F9" s="109">
        <v>3</v>
      </c>
      <c r="G9" s="72">
        <v>3</v>
      </c>
      <c r="H9" s="72">
        <v>4</v>
      </c>
    </row>
    <row r="10" spans="2:8">
      <c r="B10" s="108" t="s">
        <v>438</v>
      </c>
      <c r="C10" s="72">
        <v>4</v>
      </c>
      <c r="D10" s="72">
        <v>3</v>
      </c>
      <c r="E10" s="72">
        <v>3</v>
      </c>
      <c r="F10" s="72">
        <v>3</v>
      </c>
      <c r="G10" s="109">
        <v>2</v>
      </c>
      <c r="H10" s="72">
        <v>4</v>
      </c>
    </row>
    <row r="11" spans="2:8">
      <c r="B11" s="108" t="s">
        <v>161</v>
      </c>
      <c r="C11" s="72">
        <v>3</v>
      </c>
      <c r="D11" s="72">
        <v>3</v>
      </c>
      <c r="E11" s="72">
        <v>3</v>
      </c>
      <c r="F11" s="72">
        <v>3</v>
      </c>
      <c r="G11" s="72">
        <v>2</v>
      </c>
      <c r="H11" s="109">
        <v>3</v>
      </c>
    </row>
    <row r="12" spans="2:8">
      <c r="B12" s="72" t="s">
        <v>439</v>
      </c>
    </row>
    <row r="13" spans="2:8">
      <c r="B13" s="110" t="s">
        <v>440</v>
      </c>
      <c r="C13" s="72" t="s">
        <v>441</v>
      </c>
    </row>
    <row r="14" spans="2:8">
      <c r="C14" s="72" t="s">
        <v>442</v>
      </c>
    </row>
    <row r="19" spans="2:8">
      <c r="B19" s="1" t="s">
        <v>443</v>
      </c>
    </row>
    <row r="21" spans="2:8">
      <c r="B21" s="108" t="s">
        <v>437</v>
      </c>
      <c r="C21" s="108" t="s">
        <v>166</v>
      </c>
      <c r="D21" s="108" t="s">
        <v>157</v>
      </c>
      <c r="E21" s="108" t="s">
        <v>171</v>
      </c>
      <c r="F21" s="108" t="s">
        <v>154</v>
      </c>
      <c r="G21" s="108" t="s">
        <v>438</v>
      </c>
      <c r="H21" s="108" t="s">
        <v>161</v>
      </c>
    </row>
    <row r="22" spans="2:8">
      <c r="B22" s="108" t="s">
        <v>166</v>
      </c>
      <c r="C22" s="109"/>
      <c r="D22" s="72"/>
      <c r="E22" s="72"/>
      <c r="F22" s="72"/>
      <c r="G22" s="72"/>
      <c r="H22" s="72"/>
    </row>
    <row r="23" spans="2:8">
      <c r="B23" s="108" t="s">
        <v>157</v>
      </c>
      <c r="C23" s="72"/>
      <c r="D23" s="109"/>
      <c r="E23" s="72"/>
      <c r="F23" s="72"/>
      <c r="G23" s="72"/>
      <c r="H23" s="72"/>
    </row>
    <row r="24" spans="2:8">
      <c r="B24" s="108" t="s">
        <v>171</v>
      </c>
      <c r="C24" s="72"/>
      <c r="D24" s="72"/>
      <c r="E24" s="109"/>
      <c r="F24" s="72"/>
      <c r="G24" s="72"/>
      <c r="H24" s="72"/>
    </row>
    <row r="25" spans="2:8">
      <c r="B25" s="108" t="s">
        <v>154</v>
      </c>
      <c r="C25" s="72"/>
      <c r="D25" s="72"/>
      <c r="E25" s="72"/>
      <c r="F25" s="109"/>
      <c r="G25" s="72"/>
      <c r="H25" s="72"/>
    </row>
    <row r="26" spans="2:8">
      <c r="B26" s="108" t="s">
        <v>438</v>
      </c>
      <c r="C26" s="72"/>
      <c r="D26" s="72"/>
      <c r="E26" s="72"/>
      <c r="F26" s="72"/>
      <c r="G26" s="109"/>
      <c r="H26" s="72"/>
    </row>
    <row r="27" spans="2:8">
      <c r="B27" s="108" t="s">
        <v>161</v>
      </c>
      <c r="C27" s="72"/>
      <c r="D27" s="72"/>
      <c r="E27" s="72"/>
      <c r="F27" s="72"/>
      <c r="G27" s="72"/>
      <c r="H27" s="109"/>
    </row>
    <row r="28" spans="2:8">
      <c r="B28" s="72" t="s">
        <v>439</v>
      </c>
    </row>
    <row r="29" spans="2:8">
      <c r="B29" s="110" t="s">
        <v>440</v>
      </c>
      <c r="C29" s="72" t="s">
        <v>441</v>
      </c>
    </row>
    <row r="30" spans="2:8">
      <c r="C30" s="72" t="s">
        <v>442</v>
      </c>
    </row>
    <row r="37" spans="2:8">
      <c r="B37" s="1" t="s">
        <v>444</v>
      </c>
    </row>
    <row r="39" spans="2:8">
      <c r="B39" s="108" t="s">
        <v>437</v>
      </c>
      <c r="C39" s="108" t="s">
        <v>166</v>
      </c>
      <c r="D39" s="108" t="s">
        <v>157</v>
      </c>
      <c r="E39" s="108" t="s">
        <v>171</v>
      </c>
      <c r="F39" s="108" t="s">
        <v>154</v>
      </c>
      <c r="G39" s="108" t="s">
        <v>438</v>
      </c>
      <c r="H39" s="108" t="s">
        <v>161</v>
      </c>
    </row>
    <row r="40" spans="2:8">
      <c r="B40" s="108" t="s">
        <v>166</v>
      </c>
      <c r="C40" s="109"/>
      <c r="D40" s="72"/>
      <c r="E40" s="72"/>
      <c r="F40" s="72"/>
      <c r="G40" s="72"/>
      <c r="H40" s="72"/>
    </row>
    <row r="41" spans="2:8">
      <c r="B41" s="108" t="s">
        <v>157</v>
      </c>
      <c r="C41" s="72"/>
      <c r="D41" s="109"/>
      <c r="E41" s="72"/>
      <c r="F41" s="72"/>
      <c r="G41" s="72"/>
      <c r="H41" s="72"/>
    </row>
    <row r="42" spans="2:8">
      <c r="B42" s="108" t="s">
        <v>171</v>
      </c>
      <c r="C42" s="72"/>
      <c r="D42" s="72"/>
      <c r="E42" s="109"/>
      <c r="F42" s="72"/>
      <c r="G42" s="72"/>
      <c r="H42" s="72"/>
    </row>
    <row r="43" spans="2:8">
      <c r="B43" s="108" t="s">
        <v>154</v>
      </c>
      <c r="C43" s="72"/>
      <c r="D43" s="72"/>
      <c r="E43" s="72"/>
      <c r="F43" s="109"/>
      <c r="G43" s="72"/>
      <c r="H43" s="72"/>
    </row>
    <row r="44" spans="2:8">
      <c r="B44" s="108" t="s">
        <v>438</v>
      </c>
      <c r="C44" s="72"/>
      <c r="D44" s="72"/>
      <c r="E44" s="72"/>
      <c r="F44" s="72"/>
      <c r="G44" s="109"/>
      <c r="H44" s="72"/>
    </row>
    <row r="45" spans="2:8">
      <c r="B45" s="108" t="s">
        <v>161</v>
      </c>
      <c r="C45" s="72"/>
      <c r="D45" s="72"/>
      <c r="E45" s="72"/>
      <c r="F45" s="72"/>
      <c r="G45" s="72"/>
      <c r="H45" s="109"/>
    </row>
    <row r="46" spans="2:8">
      <c r="B46" s="72" t="s">
        <v>439</v>
      </c>
    </row>
    <row r="47" spans="2:8">
      <c r="B47" s="110" t="s">
        <v>440</v>
      </c>
      <c r="C47" s="72" t="s">
        <v>441</v>
      </c>
    </row>
    <row r="48" spans="2:8">
      <c r="C48" s="72" t="s">
        <v>442</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2:D26"/>
  <sheetViews>
    <sheetView zoomScale="112" workbookViewId="0">
      <selection activeCell="C16" sqref="C16"/>
    </sheetView>
  </sheetViews>
  <sheetFormatPr defaultColWidth="11.42578125" defaultRowHeight="12.75"/>
  <cols>
    <col min="1" max="1" width="11.42578125" customWidth="1"/>
    <col min="2" max="2" width="16.28515625" customWidth="1"/>
    <col min="3" max="3" width="33.28515625" customWidth="1"/>
    <col min="4" max="4" width="33" customWidth="1"/>
  </cols>
  <sheetData>
    <row r="2" spans="2:4">
      <c r="B2" s="1" t="s">
        <v>445</v>
      </c>
    </row>
    <row r="4" spans="2:4">
      <c r="B4" s="72" t="s">
        <v>436</v>
      </c>
    </row>
    <row r="6" spans="2:4">
      <c r="B6" s="111" t="s">
        <v>446</v>
      </c>
      <c r="C6" s="112" t="s">
        <v>447</v>
      </c>
      <c r="D6" s="113" t="s">
        <v>448</v>
      </c>
    </row>
    <row r="7" spans="2:4">
      <c r="B7" s="74" t="s">
        <v>449</v>
      </c>
      <c r="C7" s="74" t="s">
        <v>450</v>
      </c>
      <c r="D7" s="74" t="s">
        <v>451</v>
      </c>
    </row>
    <row r="8" spans="2:4">
      <c r="B8" s="70"/>
      <c r="C8" s="74" t="s">
        <v>452</v>
      </c>
      <c r="D8" s="74" t="s">
        <v>453</v>
      </c>
    </row>
    <row r="9" spans="2:4">
      <c r="B9" s="70"/>
      <c r="C9" s="74" t="s">
        <v>454</v>
      </c>
      <c r="D9" s="74" t="s">
        <v>455</v>
      </c>
    </row>
    <row r="10" spans="2:4">
      <c r="B10" s="70"/>
      <c r="C10" s="74" t="s">
        <v>456</v>
      </c>
      <c r="D10" s="70"/>
    </row>
    <row r="12" spans="2:4">
      <c r="B12" s="72" t="s">
        <v>443</v>
      </c>
    </row>
    <row r="13" spans="2:4">
      <c r="B13" s="72"/>
    </row>
    <row r="14" spans="2:4">
      <c r="B14" s="111" t="s">
        <v>446</v>
      </c>
      <c r="C14" s="112" t="s">
        <v>447</v>
      </c>
      <c r="D14" s="113" t="s">
        <v>448</v>
      </c>
    </row>
    <row r="15" spans="2:4">
      <c r="B15" s="74" t="s">
        <v>457</v>
      </c>
      <c r="C15" s="74" t="s">
        <v>458</v>
      </c>
      <c r="D15" s="74" t="s">
        <v>459</v>
      </c>
    </row>
    <row r="16" spans="2:4">
      <c r="B16" s="70" t="s">
        <v>460</v>
      </c>
      <c r="C16" s="74" t="s">
        <v>461</v>
      </c>
      <c r="D16" s="74" t="s">
        <v>462</v>
      </c>
    </row>
    <row r="17" spans="2:4">
      <c r="B17" s="70"/>
      <c r="C17" s="74"/>
      <c r="D17" s="74" t="s">
        <v>463</v>
      </c>
    </row>
    <row r="18" spans="2:4">
      <c r="B18" s="70"/>
      <c r="C18" s="74"/>
      <c r="D18" s="70"/>
    </row>
    <row r="20" spans="2:4">
      <c r="B20" s="72" t="s">
        <v>444</v>
      </c>
    </row>
    <row r="21" spans="2:4">
      <c r="B21" s="72"/>
    </row>
    <row r="22" spans="2:4">
      <c r="B22" s="111" t="s">
        <v>446</v>
      </c>
      <c r="C22" s="112" t="s">
        <v>447</v>
      </c>
      <c r="D22" s="113" t="s">
        <v>448</v>
      </c>
    </row>
    <row r="23" spans="2:4">
      <c r="B23" s="74"/>
      <c r="C23" s="74"/>
      <c r="D23" s="74"/>
    </row>
    <row r="24" spans="2:4">
      <c r="B24" s="70"/>
      <c r="C24" s="74"/>
      <c r="D24" s="74"/>
    </row>
    <row r="25" spans="2:4">
      <c r="B25" s="70"/>
      <c r="C25" s="74"/>
      <c r="D25" s="74"/>
    </row>
    <row r="26" spans="2:4">
      <c r="B26" s="70"/>
      <c r="C26" s="74"/>
      <c r="D26" s="7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SysOpen Digia Plc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cp:keywords/>
  <dc:description>Template versio 1.0 Approval</dc:description>
  <cp:lastModifiedBy>Sabina Cardell</cp:lastModifiedBy>
  <cp:revision>1</cp:revision>
  <dcterms:created xsi:type="dcterms:W3CDTF">1998-06-05T11:20:44Z</dcterms:created>
  <dcterms:modified xsi:type="dcterms:W3CDTF">2023-02-05T17:41:48Z</dcterms:modified>
  <cp:category>SysOpen Digia Standard Template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